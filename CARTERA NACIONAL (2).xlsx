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yzyU8ROP3f4zkvUgDbi1x6VIII//FznCl61GYkPPHto="/>
    </ext>
  </extLst>
</workbook>
</file>

<file path=xl/sharedStrings.xml><?xml version="1.0" encoding="utf-8"?>
<sst xmlns="http://schemas.openxmlformats.org/spreadsheetml/2006/main" count="3076" uniqueCount="624">
  <si>
    <t>Siigo - FINEAROM SAS</t>
  </si>
  <si>
    <t>SALDOS DE CARTERA POR  NIT  - NUMERICO</t>
  </si>
  <si>
    <t>Procesado en: 2026/03/28  11:47:20:86</t>
  </si>
  <si>
    <t xml:space="preserve">NIT                                                                           </t>
  </si>
  <si>
    <t>CIUDAD</t>
  </si>
  <si>
    <t>VENDEDOR</t>
  </si>
  <si>
    <t>CUENTA</t>
  </si>
  <si>
    <t xml:space="preserve">DESCRIPCION CUENTA                                </t>
  </si>
  <si>
    <t xml:space="preserve">DOCUMENTO            </t>
  </si>
  <si>
    <t xml:space="preserve">FECHA     </t>
  </si>
  <si>
    <t xml:space="preserve">VENCE     </t>
  </si>
  <si>
    <t xml:space="preserve">DIAS   </t>
  </si>
  <si>
    <t xml:space="preserve">SALDO CONTABLE  </t>
  </si>
  <si>
    <t xml:space="preserve">VENCIDO         </t>
  </si>
  <si>
    <t xml:space="preserve">SALDO VENCIDO   </t>
  </si>
  <si>
    <t xml:space="preserve">      9236914 000 MONTIEL DIAZ EMIR YAMID                                     </t>
  </si>
  <si>
    <t xml:space="preserve">VALLEDUPAR                                        </t>
  </si>
  <si>
    <t xml:space="preserve">0008    </t>
  </si>
  <si>
    <t xml:space="preserve">ARANGO SILVA MARIA CAMILA                         </t>
  </si>
  <si>
    <t xml:space="preserve">13050500  </t>
  </si>
  <si>
    <t xml:space="preserve">DEUDORES NACIONALES                               </t>
  </si>
  <si>
    <t>F-010-00000001292-001</t>
  </si>
  <si>
    <t xml:space="preserve">Total 13050500  </t>
  </si>
  <si>
    <t xml:space="preserve">Total       9236914 000 MONTIEL DIAZ EMIR YAMID                                     </t>
  </si>
  <si>
    <t xml:space="preserve">     79421317 000 BUITRAGO BUITRAGO CARLOS                                    </t>
  </si>
  <si>
    <t xml:space="preserve">BOGOTA                                            </t>
  </si>
  <si>
    <t xml:space="preserve">0024    </t>
  </si>
  <si>
    <t xml:space="preserve">CUETER NAVARRO MARIA CLAUDIA                      </t>
  </si>
  <si>
    <t>F-003-00000017458-001</t>
  </si>
  <si>
    <t>F-003-00000017459-001</t>
  </si>
  <si>
    <t xml:space="preserve">Total      79421317 000 BUITRAGO BUITRAGO CARLOS                                    </t>
  </si>
  <si>
    <t xml:space="preserve">     79532803 000 MORA GONZALEZ JUAN CARLOS                                   </t>
  </si>
  <si>
    <t xml:space="preserve">0003    </t>
  </si>
  <si>
    <t xml:space="preserve">MORA GONZALEZ JUAN CARLOS                         </t>
  </si>
  <si>
    <t>F-010-00000004171-001</t>
  </si>
  <si>
    <t xml:space="preserve">Total      79532803 000 MORA GONZALEZ JUAN CARLOS                                   </t>
  </si>
  <si>
    <t xml:space="preserve">    444444526 000 FLORAROM                                                    </t>
  </si>
  <si>
    <t xml:space="preserve">QUITO                                             </t>
  </si>
  <si>
    <t>F-010-00000002127-001</t>
  </si>
  <si>
    <t xml:space="preserve">Total     444444526 000 FLORAROM                                                    </t>
  </si>
  <si>
    <t xml:space="preserve">    800203984 000 SIMONIZ SA                                                  </t>
  </si>
  <si>
    <t xml:space="preserve">MOSQUERA                                          </t>
  </si>
  <si>
    <t xml:space="preserve">0025    </t>
  </si>
  <si>
    <t xml:space="preserve">ORTEGA GUTIERREZ MARIA JULIANA                    </t>
  </si>
  <si>
    <t>F-003-00000017361-001</t>
  </si>
  <si>
    <t xml:space="preserve">0001    </t>
  </si>
  <si>
    <t>F-003-00000017407-001</t>
  </si>
  <si>
    <t>F-003-00000017428-001</t>
  </si>
  <si>
    <t xml:space="preserve">Total     800203984 000 SIMONIZ SA                                                  </t>
  </si>
  <si>
    <t xml:space="preserve">    800248092 000 COSMETICOS MARLIOU PARIS LTDA                               </t>
  </si>
  <si>
    <t xml:space="preserve">0026    </t>
  </si>
  <si>
    <t>F-003-00000017312-001</t>
  </si>
  <si>
    <t>F-003-00000017410-001</t>
  </si>
  <si>
    <t>F-003-00000017422-001</t>
  </si>
  <si>
    <t xml:space="preserve">Total     800248092 000 COSMETICOS MARLIOU PARIS LTDA                               </t>
  </si>
  <si>
    <t xml:space="preserve">    802021602 000 PRODECAR LIMITADA                                           </t>
  </si>
  <si>
    <t xml:space="preserve">MALAMBO                                           </t>
  </si>
  <si>
    <t xml:space="preserve">MALAGON CRUZ LEIDY MILENA                         </t>
  </si>
  <si>
    <t>F-001-00000047918-001</t>
  </si>
  <si>
    <t>F-001-00000047926-001</t>
  </si>
  <si>
    <t xml:space="preserve">0015    </t>
  </si>
  <si>
    <t>F-001-00000050018-001</t>
  </si>
  <si>
    <t>F-001-00000050365-001</t>
  </si>
  <si>
    <t xml:space="preserve">Total     802021602 000 PRODECAR LIMITADA                                           </t>
  </si>
  <si>
    <t xml:space="preserve">    811012461 000 PROCESOS 2000 SAS                                           </t>
  </si>
  <si>
    <t xml:space="preserve">FUNZA                                             </t>
  </si>
  <si>
    <t xml:space="preserve">PARDO OCHOA JULIANA                               </t>
  </si>
  <si>
    <t>F-001-00000020459-001</t>
  </si>
  <si>
    <t>F-001-00000020460-001</t>
  </si>
  <si>
    <t>F-001-00000020552-001</t>
  </si>
  <si>
    <t>F-001-00000020654-001</t>
  </si>
  <si>
    <t>F-001-00000045008-001</t>
  </si>
  <si>
    <t>F-001-00000045013-001</t>
  </si>
  <si>
    <t xml:space="preserve">0011    </t>
  </si>
  <si>
    <t>F-001-00000045106-001</t>
  </si>
  <si>
    <t>F-001-00000045197-001</t>
  </si>
  <si>
    <t>F-001-00000045201-001</t>
  </si>
  <si>
    <t>F-001-00000045275-001</t>
  </si>
  <si>
    <t>F-001-00000045346-001</t>
  </si>
  <si>
    <t>F-001-00000045607-001</t>
  </si>
  <si>
    <t>F-001-00000020352-001</t>
  </si>
  <si>
    <t>F-001-00000048490-001</t>
  </si>
  <si>
    <t>F-001-00000049026-001</t>
  </si>
  <si>
    <t>F-001-00000054448-001</t>
  </si>
  <si>
    <t>F-010-00000012205-001</t>
  </si>
  <si>
    <t>F-003-00000014249-001</t>
  </si>
  <si>
    <t xml:space="preserve">0022    </t>
  </si>
  <si>
    <t>F-003-00000015195-001</t>
  </si>
  <si>
    <t>F-003-00000015196-001</t>
  </si>
  <si>
    <t>F-003-00000015208-001</t>
  </si>
  <si>
    <t>F-003-00000015211-001</t>
  </si>
  <si>
    <t>F-003-00000015233-001</t>
  </si>
  <si>
    <t>F-003-00000015330-001</t>
  </si>
  <si>
    <t>F-003-00000015355-001</t>
  </si>
  <si>
    <t>F-003-00000015413-001</t>
  </si>
  <si>
    <t>F-003-00000015414-001</t>
  </si>
  <si>
    <t>R-001-00000022821-001</t>
  </si>
  <si>
    <t xml:space="preserve">Total     811012461 000 PROCESOS 2000 SAS                                           </t>
  </si>
  <si>
    <t xml:space="preserve">    817000680 000 FAMILIA DEL PACIFICO SAS                                    </t>
  </si>
  <si>
    <t xml:space="preserve">GUACHENE                                          </t>
  </si>
  <si>
    <t>F-003-00000017360-001</t>
  </si>
  <si>
    <t>F-003-00000017443-001</t>
  </si>
  <si>
    <t>F-003-00000017444-001</t>
  </si>
  <si>
    <t>F-003-00000017445-001</t>
  </si>
  <si>
    <t>F-003-00000017486-001</t>
  </si>
  <si>
    <t>F-003-00000017523-001</t>
  </si>
  <si>
    <t xml:space="preserve">Total     817000680 000 FAMILIA DEL PACIFICO SAS                                    </t>
  </si>
  <si>
    <t xml:space="preserve">    817000809 000 INDUSTRIAS PATOJITO SAS                                     </t>
  </si>
  <si>
    <t xml:space="preserve">SANTANDER DE QUILICHAO                            </t>
  </si>
  <si>
    <t>F-003-00000017369-001</t>
  </si>
  <si>
    <t>F-003-00000017471-001</t>
  </si>
  <si>
    <t xml:space="preserve">Total     817000809 000 INDUSTRIAS PATOJITO SAS                                     </t>
  </si>
  <si>
    <t xml:space="preserve">    830054444 000 PRODUCCION Y GESTION SAS                                    </t>
  </si>
  <si>
    <t>F-003-00000017432-001</t>
  </si>
  <si>
    <t xml:space="preserve">Total     830054444 000 PRODUCCION Y GESTION SAS                                    </t>
  </si>
  <si>
    <t xml:space="preserve">    830057664 000 MARCHEN SA EN REORGANIZACION                                </t>
  </si>
  <si>
    <t xml:space="preserve">CASTAÑO AGUDELO MONICA JANETH                     </t>
  </si>
  <si>
    <t>F-010-00000002501-001</t>
  </si>
  <si>
    <t xml:space="preserve">0018    </t>
  </si>
  <si>
    <t>F-010-00000002625-001</t>
  </si>
  <si>
    <t xml:space="preserve">Total     830057664 000 MARCHEN SA EN REORGANIZACION                                </t>
  </si>
  <si>
    <t xml:space="preserve">    830061446 000 CONSTELACION INDUSTRIAL DEL ASEO S.A.S                      </t>
  </si>
  <si>
    <t>F-003-00000017437-001</t>
  </si>
  <si>
    <t>F-003-00000017473-001</t>
  </si>
  <si>
    <t>F-003-00000017505-001</t>
  </si>
  <si>
    <t xml:space="preserve">Total     830061446 000 CONSTELACION INDUSTRIAL DEL ASEO S.A.S                      </t>
  </si>
  <si>
    <t xml:space="preserve">    830071113 000 COSMETIC FASHION CORPORATION S.A.                           </t>
  </si>
  <si>
    <t>F-003-00000017310-001</t>
  </si>
  <si>
    <t>F-003-00000017419-001</t>
  </si>
  <si>
    <t xml:space="preserve">Total     830071113 000 COSMETIC FASHION CORPORATION S.A.                           </t>
  </si>
  <si>
    <t xml:space="preserve">    830500365 000 QUIMICOLOR SAS                                              </t>
  </si>
  <si>
    <t xml:space="preserve">MEDELLIN                                          </t>
  </si>
  <si>
    <t>F-003-00000017512-001</t>
  </si>
  <si>
    <t xml:space="preserve">Total     830500365 000 QUIMICOLOR SAS                                              </t>
  </si>
  <si>
    <t xml:space="preserve">    830506179 000 QUIMICA ORION SA                                            </t>
  </si>
  <si>
    <t xml:space="preserve">LA ESTRELLA                                       </t>
  </si>
  <si>
    <t>F-003-00000017338-001</t>
  </si>
  <si>
    <t>F-003-00000017356-001</t>
  </si>
  <si>
    <t>F-003-00000017433-001</t>
  </si>
  <si>
    <t>F-003-00000017491-001</t>
  </si>
  <si>
    <t>F-003-00000017507-001</t>
  </si>
  <si>
    <t xml:space="preserve">Total     830506179 000 QUIMICA ORION SA                                            </t>
  </si>
  <si>
    <t xml:space="preserve">    860000135 000 AZUL K S A S                                                </t>
  </si>
  <si>
    <t>F-003-00000017454-001</t>
  </si>
  <si>
    <t>F-003-00000017490-001</t>
  </si>
  <si>
    <t xml:space="preserve">Total     860000135 000 AZUL K S A S                                                </t>
  </si>
  <si>
    <t xml:space="preserve">    860001777 000 INDUSTRIAS INCA SAS                                         </t>
  </si>
  <si>
    <t>F-003-00000017254-001</t>
  </si>
  <si>
    <t>F-003-00000017258-001</t>
  </si>
  <si>
    <t>F-003-00000017273-001</t>
  </si>
  <si>
    <t>F-003-00000017274-001</t>
  </si>
  <si>
    <t>F-003-00000017276-001</t>
  </si>
  <si>
    <t>F-003-00000017283-001</t>
  </si>
  <si>
    <t>F-003-00000017285-001</t>
  </si>
  <si>
    <t>F-003-00000017296-001</t>
  </si>
  <si>
    <t>F-003-00000017297-001</t>
  </si>
  <si>
    <t>F-003-00000017330-001</t>
  </si>
  <si>
    <t>F-003-00000017331-001</t>
  </si>
  <si>
    <t>F-003-00000017332-001</t>
  </si>
  <si>
    <t>F-003-00000017355-001</t>
  </si>
  <si>
    <t>F-003-00000017413-001</t>
  </si>
  <si>
    <t>F-003-00000017414-001</t>
  </si>
  <si>
    <t>F-003-00000017426-001</t>
  </si>
  <si>
    <t>F-003-00000017427-001</t>
  </si>
  <si>
    <t>F-003-00000017466-001</t>
  </si>
  <si>
    <t>F-003-00000017468-001</t>
  </si>
  <si>
    <t>F-003-00000017483-001</t>
  </si>
  <si>
    <t>F-003-00000017484-001</t>
  </si>
  <si>
    <t>F-003-00000017485-001</t>
  </si>
  <si>
    <t>F-003-00000017496-001</t>
  </si>
  <si>
    <t xml:space="preserve">Total     860001777 000 INDUSTRIAS INCA SAS                                         </t>
  </si>
  <si>
    <t xml:space="preserve">    860002274 000 ETERNA S A                                                  </t>
  </si>
  <si>
    <t>F-003-00000017423-001</t>
  </si>
  <si>
    <t xml:space="preserve">Total     860002274 000 ETERNA S A                                                  </t>
  </si>
  <si>
    <t xml:space="preserve">    860031786 000 FULLER PINTO SA                                             </t>
  </si>
  <si>
    <t>F-003-00000017452-001</t>
  </si>
  <si>
    <t>F-003-00000017465-001</t>
  </si>
  <si>
    <t>F-003-00000017472-001</t>
  </si>
  <si>
    <t>F-003-00000017477-001</t>
  </si>
  <si>
    <t>F-003-00000017492-001</t>
  </si>
  <si>
    <t>F-003-00000017516-001</t>
  </si>
  <si>
    <t xml:space="preserve">Total     860031786 000 FULLER PINTO SA                                             </t>
  </si>
  <si>
    <t xml:space="preserve">    860049740 000 JEAN PASCAL S A S                                           </t>
  </si>
  <si>
    <t>F-003-00000017007-001</t>
  </si>
  <si>
    <t>F-003-00000017032-001</t>
  </si>
  <si>
    <t>F-003-00000017153-001</t>
  </si>
  <si>
    <t>F-003-00000017300-001</t>
  </si>
  <si>
    <t xml:space="preserve">Total     860049740 000 JEAN PASCAL S A S                                           </t>
  </si>
  <si>
    <t xml:space="preserve">    860525726 000 INDULATEX S A EN REESTRUCTURACION                           </t>
  </si>
  <si>
    <t>F-001-00000046528-001</t>
  </si>
  <si>
    <t>F-001-00000046526-001</t>
  </si>
  <si>
    <t>F-001-00000046872-001</t>
  </si>
  <si>
    <t>F-001-00000047136-001</t>
  </si>
  <si>
    <t>F-001-00000047526-001</t>
  </si>
  <si>
    <t>F-001-00000047599-001</t>
  </si>
  <si>
    <t>F-001-00000047760-001</t>
  </si>
  <si>
    <t>F-010-00000010217-001</t>
  </si>
  <si>
    <t xml:space="preserve">0020    </t>
  </si>
  <si>
    <t>F-010-00000010274-001</t>
  </si>
  <si>
    <t xml:space="preserve">Total     860525726 000 INDULATEX S A EN REESTRUCTURACION                           </t>
  </si>
  <si>
    <t xml:space="preserve">    890903436 000 MCM COMPANY SAS                                             </t>
  </si>
  <si>
    <t>F-003-00000017368-001</t>
  </si>
  <si>
    <t xml:space="preserve">Total     890903436 000 MCM COMPANY SAS                                             </t>
  </si>
  <si>
    <t xml:space="preserve">    890923922 000 EMPRESA DE COSMETICOS Y SERVICIOS SA                        </t>
  </si>
  <si>
    <t xml:space="preserve">ITAGUI                                            </t>
  </si>
  <si>
    <t>L-030-00000002050-001</t>
  </si>
  <si>
    <t>F-003-00000017268-001</t>
  </si>
  <si>
    <t>F-003-00000017313-001</t>
  </si>
  <si>
    <t>F-003-00000017314-001</t>
  </si>
  <si>
    <t>F-003-00000017435-001</t>
  </si>
  <si>
    <t>F-003-00000017506-001</t>
  </si>
  <si>
    <t xml:space="preserve">Total     890923922 000 EMPRESA DE COSMETICOS Y SERVICIOS SA                        </t>
  </si>
  <si>
    <t xml:space="preserve">    900012911 000 FRUTALIA DE COLOMBIA SAS                                    </t>
  </si>
  <si>
    <t xml:space="preserve">CASTRO LESMES JUAN SEBASTIAN                      </t>
  </si>
  <si>
    <t>F-003-00000017403-001</t>
  </si>
  <si>
    <t xml:space="preserve">Total     900012911 000 FRUTALIA DE COLOMBIA SAS                                    </t>
  </si>
  <si>
    <t xml:space="preserve">    900013415 000 COMERCIALIZADORA INTERNACIONAL CARBONES ANDINOS DE AMERICA S</t>
  </si>
  <si>
    <t xml:space="preserve">EL ZULIA                                          </t>
  </si>
  <si>
    <t>R-001-00000023116-001</t>
  </si>
  <si>
    <t>F-003-00000017530-001</t>
  </si>
  <si>
    <t>Total     900013415 000 COMERCIALIZADORA INTERNACIONAL CARBONES ANDINOS DE AMERICA S</t>
  </si>
  <si>
    <t xml:space="preserve">    900015899 000 ESSENSALE SOCIEDAD POR ACCIONES SIMPLIFICADAS               </t>
  </si>
  <si>
    <t xml:space="preserve">CALI                                              </t>
  </si>
  <si>
    <t>F-003-00000017429-001</t>
  </si>
  <si>
    <t>F-003-00000017499-001</t>
  </si>
  <si>
    <t>F-003-00000017529-001</t>
  </si>
  <si>
    <t xml:space="preserve">Total     900015899 000 ESSENSALE SOCIEDAD POR ACCIONES SIMPLIFICADAS               </t>
  </si>
  <si>
    <t xml:space="preserve">    900073226 000 PROSIGNA SAS                                                </t>
  </si>
  <si>
    <t xml:space="preserve">BARRANQUILLA                                      </t>
  </si>
  <si>
    <t xml:space="preserve">0017    </t>
  </si>
  <si>
    <t>F-010-00000000289-001</t>
  </si>
  <si>
    <t xml:space="preserve">Total     900073226 000 PROSIGNA SAS                                                </t>
  </si>
  <si>
    <t xml:space="preserve">    900117244 000 ARINTIA GROUP SAS                                           </t>
  </si>
  <si>
    <t>F-003-00000013654-001</t>
  </si>
  <si>
    <t>R-001-00000020800-001</t>
  </si>
  <si>
    <t xml:space="preserve">Total     900117244 000 ARINTIA GROUP SAS                                           </t>
  </si>
  <si>
    <t xml:space="preserve">    900142501 000 LUCAFER SAS                                                 </t>
  </si>
  <si>
    <t xml:space="preserve">PUERTO COLOMBIA                                   </t>
  </si>
  <si>
    <t xml:space="preserve">0023    </t>
  </si>
  <si>
    <t xml:space="preserve">QUINTERO TAPIAS MARIA CAMILA                      </t>
  </si>
  <si>
    <t>F-003-00000017050-001</t>
  </si>
  <si>
    <t xml:space="preserve">Total     900142501 000 LUCAFER SAS                                                 </t>
  </si>
  <si>
    <t xml:space="preserve">    900225474 000 SCALPI COSMETICA SA                                         </t>
  </si>
  <si>
    <t xml:space="preserve">COTA                                              </t>
  </si>
  <si>
    <t>F-003-00000017067-001</t>
  </si>
  <si>
    <t>F-003-00000017148-001</t>
  </si>
  <si>
    <t>F-003-00000017211-001</t>
  </si>
  <si>
    <t>F-003-00000017246-001</t>
  </si>
  <si>
    <t>F-003-00000017261-001</t>
  </si>
  <si>
    <t>F-003-00000017263-001</t>
  </si>
  <si>
    <t>F-003-00000017304-001</t>
  </si>
  <si>
    <t>F-003-00000017305-001</t>
  </si>
  <si>
    <t>F-003-00000017306-001</t>
  </si>
  <si>
    <t>F-003-00000017349-001</t>
  </si>
  <si>
    <t>F-003-00000017350-001</t>
  </si>
  <si>
    <t>F-003-00000017366-001</t>
  </si>
  <si>
    <t>F-003-00000017386-001</t>
  </si>
  <si>
    <t>F-003-00000017387-001</t>
  </si>
  <si>
    <t>F-003-00000017388-001</t>
  </si>
  <si>
    <t>F-003-00000017389-001</t>
  </si>
  <si>
    <t>F-003-00000017457-001</t>
  </si>
  <si>
    <t xml:space="preserve">Total     900225474 000 SCALPI COSMETICA SA                                         </t>
  </si>
  <si>
    <t xml:space="preserve">    900229913 000 FLOW CHEM SAS                                               </t>
  </si>
  <si>
    <t>F-003-00000017438-001</t>
  </si>
  <si>
    <t xml:space="preserve">Total     900229913 000 FLOW CHEM SAS                                               </t>
  </si>
  <si>
    <t xml:space="preserve">    900240333 000 TRADE PASSING S A S                                         </t>
  </si>
  <si>
    <t>F-010-00000011494-001</t>
  </si>
  <si>
    <t>F-010-00000012986-001</t>
  </si>
  <si>
    <t>F-003-00000014724-001</t>
  </si>
  <si>
    <t>F-003-00000014729-001</t>
  </si>
  <si>
    <t>F-003-00000017340-001</t>
  </si>
  <si>
    <t>F-003-00000017352-001</t>
  </si>
  <si>
    <t>F-003-00000017373-001</t>
  </si>
  <si>
    <t>F-003-00000017392-001</t>
  </si>
  <si>
    <t>F-003-00000017408-001</t>
  </si>
  <si>
    <t>F-003-00000017487-001</t>
  </si>
  <si>
    <t>F-003-00000017524-001</t>
  </si>
  <si>
    <t xml:space="preserve">Total     900240333 000 TRADE PASSING S A S                                         </t>
  </si>
  <si>
    <t xml:space="preserve">    900265795 000 PERFUMES Y ESENCIAS FRAICHE SAS                             </t>
  </si>
  <si>
    <t>F-003-00000017315-001</t>
  </si>
  <si>
    <t>F-003-00000017416-001</t>
  </si>
  <si>
    <t>F-003-00000017431-001</t>
  </si>
  <si>
    <t>F-003-00000017469-001</t>
  </si>
  <si>
    <t>F-003-00000017480-001</t>
  </si>
  <si>
    <t xml:space="preserve">Total     900265795 000 PERFUMES Y ESENCIAS FRAICHE SAS                             </t>
  </si>
  <si>
    <t xml:space="preserve">    900307659 000 SENSOCODE SAS                                               </t>
  </si>
  <si>
    <t>F-003-00000017272-001</t>
  </si>
  <si>
    <t>F-003-00000017286-001</t>
  </si>
  <si>
    <t>F-003-00000017287-001</t>
  </si>
  <si>
    <t>F-003-00000017377-001</t>
  </si>
  <si>
    <t>F-003-00000017400-001</t>
  </si>
  <si>
    <t>F-003-00000017501-001</t>
  </si>
  <si>
    <t>F-003-00000017502-001</t>
  </si>
  <si>
    <t xml:space="preserve">Total     900307659 000 SENSOCODE SAS                                               </t>
  </si>
  <si>
    <t xml:space="preserve">    900324176 000 CARIBEAN ECO SOAPS USUARIO INDUSTRIAL DE BIENES Y SERVICIOS </t>
  </si>
  <si>
    <t xml:space="preserve">SANTA MARTA                                       </t>
  </si>
  <si>
    <t>F-003-00000017282-001</t>
  </si>
  <si>
    <t>F-003-00000017402-001</t>
  </si>
  <si>
    <t>F-003-00000017510-001</t>
  </si>
  <si>
    <t xml:space="preserve">Total     900324176 000 CARIBEAN ECO SOAPS USUARIO INDUSTRIAL DE BIENES Y SERVICIOS </t>
  </si>
  <si>
    <t xml:space="preserve">    900337711 000 TROPICAL DE COLOMBIA SAS                                    </t>
  </si>
  <si>
    <t>F-003-00000017291-001</t>
  </si>
  <si>
    <t>F-003-00000017329-001</t>
  </si>
  <si>
    <t>F-003-00000017441-001</t>
  </si>
  <si>
    <t>F-003-00000017482-001</t>
  </si>
  <si>
    <t>F-003-00000017488-001</t>
  </si>
  <si>
    <t xml:space="preserve">Total     900337711 000 TROPICAL DE COLOMBIA SAS                                    </t>
  </si>
  <si>
    <t xml:space="preserve">    900369941 000 LABORATORIOS DOMECO SAS                                     </t>
  </si>
  <si>
    <t xml:space="preserve">SABANETA                                          </t>
  </si>
  <si>
    <t>F-003-00000016540-001</t>
  </si>
  <si>
    <t>F-003-00000016541-001</t>
  </si>
  <si>
    <t>F-003-00000016576-001</t>
  </si>
  <si>
    <t>F-003-00000016612-001</t>
  </si>
  <si>
    <t>F-003-00000016613-001</t>
  </si>
  <si>
    <t>F-003-00000016614-001</t>
  </si>
  <si>
    <t>F-003-00000016652-001</t>
  </si>
  <si>
    <t>F-003-00000016653-001</t>
  </si>
  <si>
    <t>F-003-00000016667-001</t>
  </si>
  <si>
    <t>F-003-00000016668-001</t>
  </si>
  <si>
    <t>F-003-00000016690-001</t>
  </si>
  <si>
    <t>F-003-00000016691-001</t>
  </si>
  <si>
    <t>F-003-00000016692-001</t>
  </si>
  <si>
    <t>F-003-00000016693-001</t>
  </si>
  <si>
    <t>F-003-00000016808-001</t>
  </si>
  <si>
    <t>F-003-00000016809-001</t>
  </si>
  <si>
    <t>F-003-00000016810-001</t>
  </si>
  <si>
    <t>F-003-00000016842-001</t>
  </si>
  <si>
    <t>F-003-00000016852-001</t>
  </si>
  <si>
    <t>F-003-00000016869-001</t>
  </si>
  <si>
    <t>F-003-00000016870-001</t>
  </si>
  <si>
    <t>F-003-00000016893-001</t>
  </si>
  <si>
    <t>F-003-00000016894-001</t>
  </si>
  <si>
    <t>F-003-00000016895-001</t>
  </si>
  <si>
    <t>R-001-00000022954-001</t>
  </si>
  <si>
    <t>F-003-00000017206-001</t>
  </si>
  <si>
    <t>R-001-00000023069-001</t>
  </si>
  <si>
    <t xml:space="preserve">Total     900369941 000 LABORATORIOS DOMECO SAS                                     </t>
  </si>
  <si>
    <t xml:space="preserve">    900388839 000 HADA INTERNATIONAL S.A.S.                                   </t>
  </si>
  <si>
    <t>F-003-00000017421-001</t>
  </si>
  <si>
    <t>F-003-00000017515-001</t>
  </si>
  <si>
    <t xml:space="preserve">Total     900388839 000 HADA INTERNATIONAL S.A.S.                                   </t>
  </si>
  <si>
    <t xml:space="preserve">    900398299 000 COMERCIALIZAMOS CE SAS                                      </t>
  </si>
  <si>
    <t xml:space="preserve">SINCELEJO                                         </t>
  </si>
  <si>
    <t>F-003-00000017442-001</t>
  </si>
  <si>
    <t>F-003-00000017479-001</t>
  </si>
  <si>
    <t>F-003-00000017521-001</t>
  </si>
  <si>
    <t xml:space="preserve">Total     900398299 000 COMERCIALIZAMOS CE SAS                                      </t>
  </si>
  <si>
    <t xml:space="preserve">    900411753 000 LAS DELICIAS LIMPIADOR DESINFECTANTES SAS                   </t>
  </si>
  <si>
    <t xml:space="preserve">BARRANCABERMEJA                                   </t>
  </si>
  <si>
    <t>F-003-00000017439-001</t>
  </si>
  <si>
    <t xml:space="preserve">Total     900411753 000 LAS DELICIAS LIMPIADOR DESINFECTANTES SAS                   </t>
  </si>
  <si>
    <t xml:space="preserve">    900414489 000 SOL FRAGANCE SAS                                            </t>
  </si>
  <si>
    <t>F-003-00000017380-001</t>
  </si>
  <si>
    <t xml:space="preserve">Total     900414489 000 SOL FRAGANCE SAS                                            </t>
  </si>
  <si>
    <t xml:space="preserve">    900417990 000 WA S.A.S                                                    </t>
  </si>
  <si>
    <t xml:space="preserve">0014    </t>
  </si>
  <si>
    <t xml:space="preserve">MORALES BUSTOS ANDRES SAIN                        </t>
  </si>
  <si>
    <t>F-001-00000045272-001</t>
  </si>
  <si>
    <t>F-001-00000045343-001</t>
  </si>
  <si>
    <t>F-001-00000045384-001</t>
  </si>
  <si>
    <t>F-001-00000045414-001</t>
  </si>
  <si>
    <t>F-001-00000045536-001</t>
  </si>
  <si>
    <t>F-001-00000045697-001</t>
  </si>
  <si>
    <t>F-001-00000045850-001</t>
  </si>
  <si>
    <t>F-001-00000045870-001</t>
  </si>
  <si>
    <t>F-001-00000045974-001</t>
  </si>
  <si>
    <t xml:space="preserve">Total     900417990 000 WA S.A.S                                                    </t>
  </si>
  <si>
    <t xml:space="preserve">    900457919 000 BOUQUET AROMAS Y FRAGANCIAS S.A.S.                          </t>
  </si>
  <si>
    <t>F-010-00000012143-001</t>
  </si>
  <si>
    <t>F-010-00000012150-001</t>
  </si>
  <si>
    <t>F-010-00000012344-001</t>
  </si>
  <si>
    <t>J-003-00000000641-001</t>
  </si>
  <si>
    <t>F-003-00000016584-001</t>
  </si>
  <si>
    <t>F-003-00000017279-001</t>
  </si>
  <si>
    <t>F-003-00000017288-001</t>
  </si>
  <si>
    <t>F-003-00000017325-001</t>
  </si>
  <si>
    <t>F-003-00000017346-001</t>
  </si>
  <si>
    <t>F-003-00000017393-001</t>
  </si>
  <si>
    <t>F-003-00000017399-001</t>
  </si>
  <si>
    <t>F-003-00000017420-001</t>
  </si>
  <si>
    <t>F-003-00000017460-001</t>
  </si>
  <si>
    <t>F-003-00000017478-001</t>
  </si>
  <si>
    <t>F-003-00000017494-001</t>
  </si>
  <si>
    <t>F-003-00000017519-001</t>
  </si>
  <si>
    <t xml:space="preserve">Total     900457919 000 BOUQUET AROMAS Y FRAGANCIAS S.A.S.                          </t>
  </si>
  <si>
    <t xml:space="preserve">    900466275 000 CARIBBEAN SUNRISE LABORATORIOS M&amp;F CHEMICAL S SAS           </t>
  </si>
  <si>
    <t>F-003-00000017520-001</t>
  </si>
  <si>
    <t>F-003-00000017525-001</t>
  </si>
  <si>
    <t xml:space="preserve">Total     900466275 000 CARIBBEAN SUNRISE LABORATORIOS M&amp;F CHEMICAL S SAS           </t>
  </si>
  <si>
    <t xml:space="preserve">    900564535 000 MAZIVO GROUP SAS                                            </t>
  </si>
  <si>
    <t xml:space="preserve">ROLDANILLO                                        </t>
  </si>
  <si>
    <t>F-010-00000002823-001</t>
  </si>
  <si>
    <t>F-010-00000003570-001</t>
  </si>
  <si>
    <t>F-010-00000003599-001</t>
  </si>
  <si>
    <t>F-010-00000003620-001</t>
  </si>
  <si>
    <t>F-010-00000003653-001</t>
  </si>
  <si>
    <t>F-010-00000003677-001</t>
  </si>
  <si>
    <t>F-010-00000003699-001</t>
  </si>
  <si>
    <t>F-010-00000003703-001</t>
  </si>
  <si>
    <t>F-010-00000003714-001</t>
  </si>
  <si>
    <t>F-010-00000003742-001</t>
  </si>
  <si>
    <t>F-010-00000003743-001</t>
  </si>
  <si>
    <t>F-010-00000003744-001</t>
  </si>
  <si>
    <t>F-010-00000003769-001</t>
  </si>
  <si>
    <t>F-010-00000003770-001</t>
  </si>
  <si>
    <t>F-010-00000003771-001</t>
  </si>
  <si>
    <t>F-010-00000003780-001</t>
  </si>
  <si>
    <t>F-010-00000003805-001</t>
  </si>
  <si>
    <t>F-010-00000003823-001</t>
  </si>
  <si>
    <t>F-010-00000003832-001</t>
  </si>
  <si>
    <t>F-010-00000003833-001</t>
  </si>
  <si>
    <t>F-010-00000003840-001</t>
  </si>
  <si>
    <t>F-010-00000003850-001</t>
  </si>
  <si>
    <t>F-010-00000003877-001</t>
  </si>
  <si>
    <t>F-010-00000003880-001</t>
  </si>
  <si>
    <t>F-010-00000003881-001</t>
  </si>
  <si>
    <t>F-010-00000003898-001</t>
  </si>
  <si>
    <t>F-010-00000003908-001</t>
  </si>
  <si>
    <t>F-010-00000003916-001</t>
  </si>
  <si>
    <t>F-010-00000003955-001</t>
  </si>
  <si>
    <t>F-010-00000003991-001</t>
  </si>
  <si>
    <t>F-010-00000004065-001</t>
  </si>
  <si>
    <t>F-010-00000004066-001</t>
  </si>
  <si>
    <t>F-010-00000004088-001</t>
  </si>
  <si>
    <t>F-010-00000004112-001</t>
  </si>
  <si>
    <t>F-010-00000004125-001</t>
  </si>
  <si>
    <t>F-010-00000004130-001</t>
  </si>
  <si>
    <t>F-010-00000004131-001</t>
  </si>
  <si>
    <t>F-010-00000004164-001</t>
  </si>
  <si>
    <t>F-010-00000004165-001</t>
  </si>
  <si>
    <t>F-010-00000004166-001</t>
  </si>
  <si>
    <t>F-010-00000004189-001</t>
  </si>
  <si>
    <t>F-010-00000004201-001</t>
  </si>
  <si>
    <t>F-010-00000004207-001</t>
  </si>
  <si>
    <t>F-010-00000004208-001</t>
  </si>
  <si>
    <t>F-010-00000004231-001</t>
  </si>
  <si>
    <t>F-010-00000004284-001</t>
  </si>
  <si>
    <t>F-010-00000004318-001</t>
  </si>
  <si>
    <t>F-010-00000004329-001</t>
  </si>
  <si>
    <t>F-010-00000004337-001</t>
  </si>
  <si>
    <t>F-010-00000004338-001</t>
  </si>
  <si>
    <t>F-010-00000010034-001</t>
  </si>
  <si>
    <t>F-010-00000010051-001</t>
  </si>
  <si>
    <t>F-010-00000010091-001</t>
  </si>
  <si>
    <t>F-010-00000010109-001</t>
  </si>
  <si>
    <t>F-010-00000010128-001</t>
  </si>
  <si>
    <t>F-010-00000010129-001</t>
  </si>
  <si>
    <t>F-010-00000010201-001</t>
  </si>
  <si>
    <t>F-010-00000010263-001</t>
  </si>
  <si>
    <t>F-010-00000010264-001</t>
  </si>
  <si>
    <t>F-010-00000010281-001</t>
  </si>
  <si>
    <t>F-010-00000010303-001</t>
  </si>
  <si>
    <t>F-010-00000010487-001</t>
  </si>
  <si>
    <t>F-010-00000010488-001</t>
  </si>
  <si>
    <t>F-010-00000010537-001</t>
  </si>
  <si>
    <t>F-010-00000010538-001</t>
  </si>
  <si>
    <t>F-010-00000010555-001</t>
  </si>
  <si>
    <t>R-001-00000022920-001</t>
  </si>
  <si>
    <t>R-001-00000023027-001</t>
  </si>
  <si>
    <t>R-001-00000023037-001</t>
  </si>
  <si>
    <t xml:space="preserve">Total     900564535 000 MAZIVO GROUP SAS                                            </t>
  </si>
  <si>
    <t xml:space="preserve">    900742771 000 BERHLAN DE COLOMBIA S.A.S.                                  </t>
  </si>
  <si>
    <t xml:space="preserve">LA TEBAIDA                                        </t>
  </si>
  <si>
    <t>F-003-00000017374-001</t>
  </si>
  <si>
    <t>F-003-00000017375-001</t>
  </si>
  <si>
    <t xml:space="preserve">Total     900742771 000 BERHLAN DE COLOMBIA S.A.S.                                  </t>
  </si>
  <si>
    <t xml:space="preserve">    900750270 000 LABORATORIOS INDUSTRIALES LPS SAS                           </t>
  </si>
  <si>
    <t>F-003-00000017334-001</t>
  </si>
  <si>
    <t>F-003-00000017335-001</t>
  </si>
  <si>
    <t>F-003-00000017358-001</t>
  </si>
  <si>
    <t>F-003-00000017384-001</t>
  </si>
  <si>
    <t>F-003-00000017409-001</t>
  </si>
  <si>
    <t>F-003-00000017453-001</t>
  </si>
  <si>
    <t>F-003-00000017463-001</t>
  </si>
  <si>
    <t>F-003-00000017464-001</t>
  </si>
  <si>
    <t>F-003-00000017497-001</t>
  </si>
  <si>
    <t>F-003-00000017517-001</t>
  </si>
  <si>
    <t xml:space="preserve">Total     900750270 000 LABORATORIOS INDUSTRIALES LPS SAS                           </t>
  </si>
  <si>
    <t xml:space="preserve">    900781118 000 CERERIAS ESPAÑOLAS EL FARO SAS                              </t>
  </si>
  <si>
    <t>F-003-00000017326-001</t>
  </si>
  <si>
    <t>F-003-00000017436-001</t>
  </si>
  <si>
    <t xml:space="preserve">Total     900781118 000 CERERIAS ESPAÑOLAS EL FARO SAS                              </t>
  </si>
  <si>
    <t xml:space="preserve">    900826583 000 PANDA BOTANICALS LABORATORIO SAS                            </t>
  </si>
  <si>
    <t>F-001-00000050471-001</t>
  </si>
  <si>
    <t>F-001-00000050542-001</t>
  </si>
  <si>
    <t>F-001-00000050722-001</t>
  </si>
  <si>
    <t>F-001-00000050754-001</t>
  </si>
  <si>
    <t>F-001-00000050928-001</t>
  </si>
  <si>
    <t>F-001-00000054208-001</t>
  </si>
  <si>
    <t>F-001-00000054304-001</t>
  </si>
  <si>
    <t>F-001-00000054453-001</t>
  </si>
  <si>
    <t>F-001-00000054520-001</t>
  </si>
  <si>
    <t>F-001-00000054623-001</t>
  </si>
  <si>
    <t>F-001-00000054621-001</t>
  </si>
  <si>
    <t>F-001-00000054622-001</t>
  </si>
  <si>
    <t>F-001-00000054624-001</t>
  </si>
  <si>
    <t xml:space="preserve">Total     900826583 000 PANDA BOTANICALS LABORATORIO SAS                            </t>
  </si>
  <si>
    <t xml:space="preserve">    900860484 000 FULLAROME SAS                                               </t>
  </si>
  <si>
    <t xml:space="preserve">YUMBO                                             </t>
  </si>
  <si>
    <t xml:space="preserve">MUÑOZ URREA JUAN CARLOS                           </t>
  </si>
  <si>
    <t>F-003-00000017259-001</t>
  </si>
  <si>
    <t>F-003-00000017265-001</t>
  </si>
  <si>
    <t>F-003-00000017292-001</t>
  </si>
  <si>
    <t>F-003-00000017298-001</t>
  </si>
  <si>
    <t>F-003-00000017319-001</t>
  </si>
  <si>
    <t>F-003-00000017337-001</t>
  </si>
  <si>
    <t>F-003-00000017347-001</t>
  </si>
  <si>
    <t>F-003-00000017363-001</t>
  </si>
  <si>
    <t>F-003-00000017376-001</t>
  </si>
  <si>
    <t>F-003-00000017395-001</t>
  </si>
  <si>
    <t>F-003-00000017401-001</t>
  </si>
  <si>
    <t>F-003-00000017415-001</t>
  </si>
  <si>
    <t>F-003-00000017430-001</t>
  </si>
  <si>
    <t>F-003-00000017461-001</t>
  </si>
  <si>
    <t>F-003-00000017475-001</t>
  </si>
  <si>
    <t>F-003-00000017495-001</t>
  </si>
  <si>
    <t>F-003-00000017509-001</t>
  </si>
  <si>
    <t>F-003-00000017526-001</t>
  </si>
  <si>
    <t xml:space="preserve">Total     900860484 000 FULLAROME SAS                                               </t>
  </si>
  <si>
    <t xml:space="preserve">    900866513 000 THE SECRET GARDEN GROUP SAS                                 </t>
  </si>
  <si>
    <t>F-010-00000003772-001</t>
  </si>
  <si>
    <t>F-010-00000003809-001</t>
  </si>
  <si>
    <t>F-010-00000003813-001</t>
  </si>
  <si>
    <t xml:space="preserve">Total     900866513 000 THE SECRET GARDEN GROUP SAS                                 </t>
  </si>
  <si>
    <t xml:space="preserve">    900866837 000 LABORATORIOS BIOCRESS SAS                                   </t>
  </si>
  <si>
    <t xml:space="preserve">PIEDECUESTA                                       </t>
  </si>
  <si>
    <t>F-003-00000017424-001</t>
  </si>
  <si>
    <t xml:space="preserve">Total     900866837 000 LABORATORIOS BIOCRESS SAS                                   </t>
  </si>
  <si>
    <t xml:space="preserve">    901004367 000 INDUSTRIA COLOMBIANA DE COSMETICOS Y ASEO ALDIX SAS         </t>
  </si>
  <si>
    <t>F-001-00000054627-001</t>
  </si>
  <si>
    <t>F-001-00000054694-001</t>
  </si>
  <si>
    <t>F-001-00000054696-001</t>
  </si>
  <si>
    <t>F-010-00000000571-001</t>
  </si>
  <si>
    <t>F-010-00000001644-001</t>
  </si>
  <si>
    <t>F-010-00000001900-001</t>
  </si>
  <si>
    <t>F-010-00000002139-001</t>
  </si>
  <si>
    <t>F-010-00000002288-001</t>
  </si>
  <si>
    <t xml:space="preserve">Total     901004367 000 INDUSTRIA COLOMBIANA DE COSMETICOS Y ASEO ALDIX SAS         </t>
  </si>
  <si>
    <t xml:space="preserve">    901088196 000 VIRUTEX ILKO COLOMBIA SAS                                   </t>
  </si>
  <si>
    <t xml:space="preserve">CALOTO                                            </t>
  </si>
  <si>
    <t>R-001-00000022798-001</t>
  </si>
  <si>
    <t>F-003-00000017257-001</t>
  </si>
  <si>
    <t>F-003-00000017390-001</t>
  </si>
  <si>
    <t>F-003-00000017470-001</t>
  </si>
  <si>
    <t xml:space="preserve">Total     901088196 000 VIRUTEX ILKO COLOMBIA SAS                                   </t>
  </si>
  <si>
    <t xml:space="preserve">    901133208 000 INDUSTRIAS CMN SAS                                          </t>
  </si>
  <si>
    <t>F-010-00000001773-001</t>
  </si>
  <si>
    <t>F-010-00000001776-001</t>
  </si>
  <si>
    <t>F-010-00000001825-001</t>
  </si>
  <si>
    <t>F-010-00000001876-001</t>
  </si>
  <si>
    <t>F-010-00000001905-001</t>
  </si>
  <si>
    <t>F-010-00000001942-001</t>
  </si>
  <si>
    <t>F-010-00000001949-001</t>
  </si>
  <si>
    <t>F-010-00000001950-001</t>
  </si>
  <si>
    <t>F-010-00000001989-001</t>
  </si>
  <si>
    <t>F-010-00000002017-001</t>
  </si>
  <si>
    <t>F-010-00000002018-001</t>
  </si>
  <si>
    <t>F-010-00000002019-001</t>
  </si>
  <si>
    <t>F-010-00000002205-001</t>
  </si>
  <si>
    <t>F-010-00000002206-001</t>
  </si>
  <si>
    <t>F-010-00000002373-001</t>
  </si>
  <si>
    <t>F-010-00000002404-001</t>
  </si>
  <si>
    <t>F-010-00000002576-001</t>
  </si>
  <si>
    <t>F-010-00000002661-001</t>
  </si>
  <si>
    <t>F-010-00000002717-001</t>
  </si>
  <si>
    <t>F-010-00000002731-001</t>
  </si>
  <si>
    <t>F-010-00000002867-001</t>
  </si>
  <si>
    <t>F-010-00000002868-001</t>
  </si>
  <si>
    <t>F-010-00000002896-001</t>
  </si>
  <si>
    <t>F-010-00000002918-001</t>
  </si>
  <si>
    <t>F-010-00000002957-001</t>
  </si>
  <si>
    <t>F-010-00000002969-001</t>
  </si>
  <si>
    <t xml:space="preserve">Total     901133208 000 INDUSTRIAS CMN SAS                                          </t>
  </si>
  <si>
    <t xml:space="preserve">    901180690 000 MAXIM SURAMERICA SAS                                        </t>
  </si>
  <si>
    <t>F-003-00000017185-001</t>
  </si>
  <si>
    <t xml:space="preserve">Total     901180690 000 MAXIM SURAMERICA SAS                                        </t>
  </si>
  <si>
    <t xml:space="preserve">    901208344 000 DISFRAROMAS ONE SAS                                         </t>
  </si>
  <si>
    <t>F-003-00000017397-001</t>
  </si>
  <si>
    <t>F-003-00000017527-001</t>
  </si>
  <si>
    <t xml:space="preserve">Total     901208344 000 DISFRAROMAS ONE SAS                                         </t>
  </si>
  <si>
    <t xml:space="preserve">    901209350 000 QUIMISENSE SAS                                              </t>
  </si>
  <si>
    <t>J-003-00000000689-001</t>
  </si>
  <si>
    <t>F-003-00000017462-001</t>
  </si>
  <si>
    <t>F-003-00000017476-001</t>
  </si>
  <si>
    <t>F-003-00000017481-001</t>
  </si>
  <si>
    <t>F-003-00000017493-001</t>
  </si>
  <si>
    <t>F-003-00000017508-001</t>
  </si>
  <si>
    <t>F-003-00000017528-001</t>
  </si>
  <si>
    <t xml:space="preserve">Total     901209350 000 QUIMISENSE SAS                                              </t>
  </si>
  <si>
    <t xml:space="preserve">    901260145 000 NOW CLEANY SAS                                              </t>
  </si>
  <si>
    <t xml:space="preserve">MONTERIA                                          </t>
  </si>
  <si>
    <t>F-003-00000017411-001</t>
  </si>
  <si>
    <t>F-003-00000017455-001</t>
  </si>
  <si>
    <t>F-003-00000017511-001</t>
  </si>
  <si>
    <t xml:space="preserve">Total     901260145 000 NOW CLEANY SAS                                              </t>
  </si>
  <si>
    <t xml:space="preserve">    901338950 000 LA VERANERA COLOMBIA SAS                                    </t>
  </si>
  <si>
    <t>F-003-00000017364-001</t>
  </si>
  <si>
    <t>F-003-00000017446-001</t>
  </si>
  <si>
    <t>F-003-00000017500-001</t>
  </si>
  <si>
    <t xml:space="preserve">Total     901338950 000 LA VERANERA COLOMBIA SAS                                    </t>
  </si>
  <si>
    <t xml:space="preserve">    901390015 000 FAST MODA SAS                                               </t>
  </si>
  <si>
    <t xml:space="preserve">TENJO                                             </t>
  </si>
  <si>
    <t>F-003-00000017474-001</t>
  </si>
  <si>
    <t xml:space="preserve">Total     901390015 000 FAST MODA SAS                                               </t>
  </si>
  <si>
    <t xml:space="preserve">    901415267 000 FUNTRITION S.A.S.                                           </t>
  </si>
  <si>
    <t>R-001-00000022317-001</t>
  </si>
  <si>
    <t xml:space="preserve">Total     901415267 000 FUNTRITION S.A.S.                                           </t>
  </si>
  <si>
    <t xml:space="preserve">    901440947 000 INDUSTRIAS ALDIX S.A.S.                                     </t>
  </si>
  <si>
    <t>F-010-00000002799-001</t>
  </si>
  <si>
    <t>F-010-00000002800-001</t>
  </si>
  <si>
    <t>F-010-00000002801-001</t>
  </si>
  <si>
    <t xml:space="preserve">Total     901440947 000 INDUSTRIAS ALDIX S.A.S.                                     </t>
  </si>
  <si>
    <t xml:space="preserve">    901493654 000 BRAND &amp; SOLUTIONS SAS                                       </t>
  </si>
  <si>
    <t>R-001-00000023059-001</t>
  </si>
  <si>
    <t xml:space="preserve">Total     901493654 000 BRAND &amp; SOLUTIONS SAS                                       </t>
  </si>
  <si>
    <t xml:space="preserve">    901747453 000 AMSA QUIMICOS SAS                                           </t>
  </si>
  <si>
    <t xml:space="preserve">BUCARAMANGA                                       </t>
  </si>
  <si>
    <t>R-001-00000023155-001</t>
  </si>
  <si>
    <t xml:space="preserve">Total     901747453 000 AMSA QUIMICOS SAS                                           </t>
  </si>
  <si>
    <t xml:space="preserve">    901900882 000 AROMAS DE LA VIDA COLOMBIA S.A.S.                           </t>
  </si>
  <si>
    <t>R-001-00000023156-001</t>
  </si>
  <si>
    <t>F-003-00000017518-001</t>
  </si>
  <si>
    <t xml:space="preserve">Total     901900882 000 AROMAS DE LA VIDA COLOMBIA S.A.S.                           </t>
  </si>
  <si>
    <t>Total general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</si>
</sst>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#,##0_);[Red]\(##,##0\)"/>
    <numFmt numFmtId="165" formatCode="yyyy/mm/dd"/>
    <numFmt numFmtId="166" formatCode="##,##0.00_);[Red]\(##,##0.00\)"/>
  </numFmts>
  <fonts count="5">
    <font>
      <sz val="11.0"/>
      <color theme="1"/>
      <name val="Calibri"/>
      <scheme val="minor"/>
    </font>
    <font>
      <b/>
      <sz val="10.0"/>
      <color theme="1"/>
      <name val="Verdana"/>
    </font>
    <font/>
    <font>
      <b/>
      <sz val="18.0"/>
      <color theme="1"/>
      <name val="Verdana"/>
    </font>
    <font>
      <sz val="10.0"/>
      <color theme="1"/>
      <name val="Verdana"/>
    </font>
  </fonts>
  <fills count="3">
    <fill>
      <patternFill patternType="none"/>
    </fill>
    <fill>
      <patternFill patternType="lightGray"/>
    </fill>
    <fill>
      <patternFill patternType="solid">
        <fgColor rgb="FF99CCFF"/>
        <bgColor rgb="FF99CC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horizontal="center"/>
    </xf>
    <xf borderId="4" fillId="2" fontId="4" numFmtId="0" xfId="0" applyBorder="1" applyFont="1"/>
    <xf borderId="4" fillId="2" fontId="4" numFmtId="164" xfId="0" applyBorder="1" applyFont="1" applyNumberFormat="1"/>
    <xf borderId="0" fillId="0" fontId="4" numFmtId="0" xfId="0" applyFont="1"/>
    <xf borderId="0" fillId="0" fontId="4" numFmtId="164" xfId="0" applyFont="1" applyNumberFormat="1"/>
    <xf borderId="4" fillId="2" fontId="1" numFmtId="0" xfId="0" applyBorder="1" applyFont="1"/>
    <xf borderId="4" fillId="2" fontId="1" numFmtId="164" xfId="0" applyAlignment="1" applyBorder="1" applyFont="1" applyNumberFormat="1">
      <alignment readingOrder="0"/>
    </xf>
    <xf borderId="4" fillId="2" fontId="1" numFmtId="165" xfId="0" applyBorder="1" applyFont="1" applyNumberFormat="1"/>
    <xf borderId="4" fillId="2" fontId="1" numFmtId="164" xfId="0" applyBorder="1" applyFont="1" applyNumberFormat="1"/>
    <xf borderId="4" fillId="2" fontId="1" numFmtId="166" xfId="0" applyBorder="1" applyFont="1" applyNumberFormat="1"/>
    <xf borderId="0" fillId="0" fontId="4" numFmtId="165" xfId="0" applyFont="1" applyNumberFormat="1"/>
    <xf borderId="0" fillId="0" fontId="4" numFmtId="166" xfId="0" applyFont="1" applyNumberForma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3"/>
  <cols>
    <col customWidth="1" min="1" max="2" width="19.71"/>
    <col customWidth="1" min="3" max="3" width="13.14"/>
    <col customWidth="1" min="4" max="4" width="51.14"/>
    <col customWidth="1" min="5" max="5" width="19.29"/>
    <col customWidth="1" min="6" max="13" width="46.43"/>
  </cols>
  <sheetData>
    <row r="1" ht="13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13.5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</row>
    <row r="3" ht="13.5" customHeight="1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ht="13.5" customHeight="1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ht="13.5" customHeight="1">
      <c r="A5" s="1" t="s">
        <v>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3"/>
    </row>
    <row r="6" ht="13.5" customHeight="1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</row>
    <row r="7" ht="13.5" customHeight="1">
      <c r="A7" s="9" t="s">
        <v>3</v>
      </c>
      <c r="B7" s="10" t="s">
        <v>4</v>
      </c>
      <c r="C7" s="10" t="s">
        <v>5</v>
      </c>
      <c r="D7" s="10"/>
      <c r="E7" s="10" t="s">
        <v>6</v>
      </c>
      <c r="F7" s="10" t="s">
        <v>7</v>
      </c>
      <c r="G7" s="9" t="s">
        <v>8</v>
      </c>
      <c r="H7" s="11" t="s">
        <v>9</v>
      </c>
      <c r="I7" s="11" t="s">
        <v>10</v>
      </c>
      <c r="J7" s="12" t="s">
        <v>11</v>
      </c>
      <c r="K7" s="13" t="s">
        <v>12</v>
      </c>
      <c r="L7" s="13" t="s">
        <v>13</v>
      </c>
      <c r="M7" s="13" t="s">
        <v>14</v>
      </c>
    </row>
    <row r="8" ht="13.5" customHeight="1" outlineLevel="3">
      <c r="A8" s="7" t="s">
        <v>15</v>
      </c>
      <c r="B8" s="7" t="s">
        <v>16</v>
      </c>
      <c r="C8" s="7" t="s">
        <v>17</v>
      </c>
      <c r="D8" s="7" t="s">
        <v>18</v>
      </c>
      <c r="E8" s="7" t="s">
        <v>19</v>
      </c>
      <c r="F8" s="7" t="s">
        <v>20</v>
      </c>
      <c r="G8" s="7" t="s">
        <v>21</v>
      </c>
      <c r="H8" s="14">
        <v>44048.0</v>
      </c>
      <c r="I8" s="14">
        <v>44108.0</v>
      </c>
      <c r="J8" s="8">
        <v>-1973.0</v>
      </c>
      <c r="K8" s="15">
        <v>8161329.08</v>
      </c>
      <c r="L8" s="15">
        <v>8161329.08</v>
      </c>
      <c r="M8" s="15">
        <v>8161329.08</v>
      </c>
    </row>
    <row r="9" ht="13.5" customHeight="1" outlineLevel="2">
      <c r="A9" s="7"/>
      <c r="B9" s="7"/>
      <c r="C9" s="7"/>
      <c r="D9" s="7"/>
      <c r="E9" s="16" t="s">
        <v>22</v>
      </c>
      <c r="F9" s="7"/>
      <c r="G9" s="7"/>
      <c r="H9" s="14"/>
      <c r="I9" s="14"/>
      <c r="J9" s="8"/>
      <c r="K9" s="15">
        <f t="shared" ref="K9:L9" si="1">SUBTOTAL(9,K8)</f>
        <v>8161329.08</v>
      </c>
      <c r="L9" s="15">
        <f t="shared" si="1"/>
        <v>8161329.08</v>
      </c>
      <c r="M9" s="15"/>
    </row>
    <row r="10" ht="13.5" customHeight="1" outlineLevel="1">
      <c r="A10" s="16" t="s">
        <v>23</v>
      </c>
      <c r="B10" s="7"/>
      <c r="C10" s="7"/>
      <c r="D10" s="7"/>
      <c r="E10" s="7"/>
      <c r="F10" s="7"/>
      <c r="G10" s="7"/>
      <c r="H10" s="14"/>
      <c r="I10" s="14"/>
      <c r="J10" s="8"/>
      <c r="K10" s="15">
        <f t="shared" ref="K10:L10" si="2">SUBTOTAL(9,K8)</f>
        <v>8161329.08</v>
      </c>
      <c r="L10" s="15">
        <f t="shared" si="2"/>
        <v>8161329.08</v>
      </c>
      <c r="M10" s="15"/>
    </row>
    <row r="11" ht="13.5" customHeight="1" outlineLevel="3">
      <c r="A11" s="7" t="s">
        <v>24</v>
      </c>
      <c r="B11" s="7" t="s">
        <v>25</v>
      </c>
      <c r="C11" s="7" t="s">
        <v>26</v>
      </c>
      <c r="D11" s="7" t="s">
        <v>27</v>
      </c>
      <c r="E11" s="7" t="s">
        <v>19</v>
      </c>
      <c r="F11" s="7" t="s">
        <v>20</v>
      </c>
      <c r="G11" s="7" t="s">
        <v>28</v>
      </c>
      <c r="H11" s="14">
        <v>46091.0</v>
      </c>
      <c r="I11" s="14">
        <v>46151.0</v>
      </c>
      <c r="J11" s="8">
        <v>42.0</v>
      </c>
      <c r="K11" s="15">
        <v>428257.2</v>
      </c>
      <c r="L11" s="15">
        <v>0.0</v>
      </c>
      <c r="M11" s="15">
        <v>0.0</v>
      </c>
    </row>
    <row r="12" ht="13.5" customHeight="1" outlineLevel="3">
      <c r="A12" s="7" t="s">
        <v>24</v>
      </c>
      <c r="B12" s="7" t="s">
        <v>25</v>
      </c>
      <c r="C12" s="7" t="s">
        <v>26</v>
      </c>
      <c r="D12" s="7" t="s">
        <v>27</v>
      </c>
      <c r="E12" s="7" t="s">
        <v>19</v>
      </c>
      <c r="F12" s="7" t="s">
        <v>20</v>
      </c>
      <c r="G12" s="7" t="s">
        <v>29</v>
      </c>
      <c r="H12" s="14">
        <v>46091.0</v>
      </c>
      <c r="I12" s="14">
        <v>46151.0</v>
      </c>
      <c r="J12" s="8">
        <v>42.0</v>
      </c>
      <c r="K12" s="15">
        <v>2321680.97</v>
      </c>
      <c r="L12" s="15">
        <v>0.0</v>
      </c>
      <c r="M12" s="15">
        <v>0.0</v>
      </c>
    </row>
    <row r="13" ht="13.5" customHeight="1" outlineLevel="2">
      <c r="A13" s="7"/>
      <c r="B13" s="7"/>
      <c r="C13" s="7"/>
      <c r="D13" s="7"/>
      <c r="E13" s="16" t="s">
        <v>22</v>
      </c>
      <c r="F13" s="7"/>
      <c r="G13" s="7"/>
      <c r="H13" s="14"/>
      <c r="I13" s="14"/>
      <c r="J13" s="8"/>
      <c r="K13" s="15">
        <f t="shared" ref="K13:L13" si="3">SUBTOTAL(9,K11:K12)</f>
        <v>2749938.17</v>
      </c>
      <c r="L13" s="15">
        <f t="shared" si="3"/>
        <v>0</v>
      </c>
      <c r="M13" s="15"/>
    </row>
    <row r="14" ht="13.5" customHeight="1" outlineLevel="1">
      <c r="A14" s="16" t="s">
        <v>30</v>
      </c>
      <c r="B14" s="7"/>
      <c r="C14" s="7"/>
      <c r="D14" s="7"/>
      <c r="E14" s="7"/>
      <c r="F14" s="7"/>
      <c r="G14" s="7"/>
      <c r="H14" s="14"/>
      <c r="I14" s="14"/>
      <c r="J14" s="8"/>
      <c r="K14" s="15">
        <f t="shared" ref="K14:L14" si="4">SUBTOTAL(9,K11:K12)</f>
        <v>2749938.17</v>
      </c>
      <c r="L14" s="15">
        <f t="shared" si="4"/>
        <v>0</v>
      </c>
      <c r="M14" s="15"/>
    </row>
    <row r="15" ht="13.5" customHeight="1" outlineLevel="3">
      <c r="A15" s="7" t="s">
        <v>31</v>
      </c>
      <c r="B15" s="7" t="s">
        <v>25</v>
      </c>
      <c r="C15" s="7" t="s">
        <v>32</v>
      </c>
      <c r="D15" s="7" t="s">
        <v>33</v>
      </c>
      <c r="E15" s="7" t="s">
        <v>19</v>
      </c>
      <c r="F15" s="7" t="s">
        <v>20</v>
      </c>
      <c r="G15" s="7" t="s">
        <v>34</v>
      </c>
      <c r="H15" s="14">
        <v>44491.0</v>
      </c>
      <c r="I15" s="14">
        <v>44926.0</v>
      </c>
      <c r="J15" s="8">
        <v>-1166.0</v>
      </c>
      <c r="K15" s="15">
        <v>4.4843E7</v>
      </c>
      <c r="L15" s="15">
        <v>4.4843E7</v>
      </c>
      <c r="M15" s="15">
        <v>4.4843E7</v>
      </c>
    </row>
    <row r="16" ht="13.5" customHeight="1" outlineLevel="2">
      <c r="A16" s="7"/>
      <c r="B16" s="7"/>
      <c r="C16" s="7"/>
      <c r="D16" s="7"/>
      <c r="E16" s="16" t="s">
        <v>22</v>
      </c>
      <c r="F16" s="7"/>
      <c r="G16" s="7"/>
      <c r="H16" s="14"/>
      <c r="I16" s="14"/>
      <c r="J16" s="8"/>
      <c r="K16" s="15">
        <f t="shared" ref="K16:L16" si="5">SUBTOTAL(9,K15)</f>
        <v>44843000</v>
      </c>
      <c r="L16" s="15">
        <f t="shared" si="5"/>
        <v>44843000</v>
      </c>
      <c r="M16" s="15"/>
    </row>
    <row r="17" ht="13.5" customHeight="1" outlineLevel="1">
      <c r="A17" s="16" t="s">
        <v>35</v>
      </c>
      <c r="B17" s="7"/>
      <c r="C17" s="7"/>
      <c r="D17" s="7"/>
      <c r="E17" s="7"/>
      <c r="F17" s="7"/>
      <c r="G17" s="7"/>
      <c r="H17" s="14"/>
      <c r="I17" s="14"/>
      <c r="J17" s="8"/>
      <c r="K17" s="15">
        <f t="shared" ref="K17:L17" si="6">SUBTOTAL(9,K15)</f>
        <v>44843000</v>
      </c>
      <c r="L17" s="15">
        <f t="shared" si="6"/>
        <v>44843000</v>
      </c>
      <c r="M17" s="15"/>
    </row>
    <row r="18" ht="13.5" customHeight="1" outlineLevel="3">
      <c r="A18" s="7" t="s">
        <v>36</v>
      </c>
      <c r="B18" s="7" t="s">
        <v>37</v>
      </c>
      <c r="C18" s="7" t="s">
        <v>17</v>
      </c>
      <c r="D18" s="7" t="s">
        <v>27</v>
      </c>
      <c r="E18" s="7" t="s">
        <v>19</v>
      </c>
      <c r="F18" s="7" t="s">
        <v>20</v>
      </c>
      <c r="G18" s="7" t="s">
        <v>38</v>
      </c>
      <c r="H18" s="14">
        <v>44167.0</v>
      </c>
      <c r="I18" s="14">
        <v>44229.0</v>
      </c>
      <c r="J18" s="8">
        <v>-1855.0</v>
      </c>
      <c r="K18" s="15">
        <v>0.0</v>
      </c>
      <c r="L18" s="15">
        <v>0.0</v>
      </c>
      <c r="M18" s="15">
        <v>0.0</v>
      </c>
    </row>
    <row r="19" ht="13.5" customHeight="1" outlineLevel="2">
      <c r="A19" s="7"/>
      <c r="B19" s="7"/>
      <c r="C19" s="7"/>
      <c r="D19" s="7"/>
      <c r="E19" s="16" t="s">
        <v>22</v>
      </c>
      <c r="F19" s="7"/>
      <c r="G19" s="7"/>
      <c r="H19" s="14"/>
      <c r="I19" s="14"/>
      <c r="J19" s="8"/>
      <c r="K19" s="15">
        <f t="shared" ref="K19:L19" si="7">SUBTOTAL(9,K18)</f>
        <v>0</v>
      </c>
      <c r="L19" s="15">
        <f t="shared" si="7"/>
        <v>0</v>
      </c>
      <c r="M19" s="15"/>
    </row>
    <row r="20" ht="13.5" customHeight="1" outlineLevel="1">
      <c r="A20" s="16" t="s">
        <v>39</v>
      </c>
      <c r="B20" s="7"/>
      <c r="C20" s="7"/>
      <c r="D20" s="7"/>
      <c r="E20" s="7"/>
      <c r="F20" s="7"/>
      <c r="G20" s="7"/>
      <c r="H20" s="14"/>
      <c r="I20" s="14"/>
      <c r="J20" s="8"/>
      <c r="K20" s="15">
        <f t="shared" ref="K20:L20" si="8">SUBTOTAL(9,K18)</f>
        <v>0</v>
      </c>
      <c r="L20" s="15">
        <f t="shared" si="8"/>
        <v>0</v>
      </c>
      <c r="M20" s="15"/>
    </row>
    <row r="21" ht="13.5" customHeight="1" outlineLevel="3">
      <c r="A21" s="7" t="s">
        <v>40</v>
      </c>
      <c r="B21" s="7" t="s">
        <v>41</v>
      </c>
      <c r="C21" s="7" t="s">
        <v>42</v>
      </c>
      <c r="D21" s="7" t="s">
        <v>43</v>
      </c>
      <c r="E21" s="7" t="s">
        <v>19</v>
      </c>
      <c r="F21" s="7" t="s">
        <v>20</v>
      </c>
      <c r="G21" s="7" t="s">
        <v>44</v>
      </c>
      <c r="H21" s="14">
        <v>46065.0</v>
      </c>
      <c r="I21" s="14">
        <v>46123.0</v>
      </c>
      <c r="J21" s="8">
        <v>14.0</v>
      </c>
      <c r="K21" s="15">
        <v>2935974.75</v>
      </c>
      <c r="L21" s="15">
        <v>0.0</v>
      </c>
      <c r="M21" s="15">
        <v>0.0</v>
      </c>
    </row>
    <row r="22" ht="13.5" customHeight="1" outlineLevel="3">
      <c r="A22" s="7" t="s">
        <v>40</v>
      </c>
      <c r="B22" s="7" t="s">
        <v>41</v>
      </c>
      <c r="C22" s="7" t="s">
        <v>45</v>
      </c>
      <c r="D22" s="7" t="s">
        <v>43</v>
      </c>
      <c r="E22" s="7" t="s">
        <v>19</v>
      </c>
      <c r="F22" s="7" t="s">
        <v>20</v>
      </c>
      <c r="G22" s="7" t="s">
        <v>46</v>
      </c>
      <c r="H22" s="14">
        <v>46078.0</v>
      </c>
      <c r="I22" s="14">
        <v>46136.0</v>
      </c>
      <c r="J22" s="8">
        <v>27.0</v>
      </c>
      <c r="K22" s="15">
        <v>2955313.75</v>
      </c>
      <c r="L22" s="15">
        <v>0.0</v>
      </c>
      <c r="M22" s="15">
        <v>0.0</v>
      </c>
    </row>
    <row r="23" ht="13.5" customHeight="1" outlineLevel="3">
      <c r="A23" s="7" t="s">
        <v>40</v>
      </c>
      <c r="B23" s="7" t="s">
        <v>41</v>
      </c>
      <c r="C23" s="7" t="s">
        <v>42</v>
      </c>
      <c r="D23" s="7" t="s">
        <v>43</v>
      </c>
      <c r="E23" s="7" t="s">
        <v>19</v>
      </c>
      <c r="F23" s="7" t="s">
        <v>20</v>
      </c>
      <c r="G23" s="7" t="s">
        <v>47</v>
      </c>
      <c r="H23" s="14">
        <v>46084.0</v>
      </c>
      <c r="I23" s="14">
        <v>46144.0</v>
      </c>
      <c r="J23" s="8">
        <v>35.0</v>
      </c>
      <c r="K23" s="15">
        <v>6015128.0</v>
      </c>
      <c r="L23" s="15">
        <v>0.0</v>
      </c>
      <c r="M23" s="15">
        <v>0.0</v>
      </c>
    </row>
    <row r="24" ht="13.5" customHeight="1" outlineLevel="2">
      <c r="A24" s="7"/>
      <c r="B24" s="7"/>
      <c r="C24" s="7"/>
      <c r="D24" s="7"/>
      <c r="E24" s="16" t="s">
        <v>22</v>
      </c>
      <c r="F24" s="7"/>
      <c r="G24" s="7"/>
      <c r="H24" s="14"/>
      <c r="I24" s="14"/>
      <c r="J24" s="8"/>
      <c r="K24" s="15">
        <f t="shared" ref="K24:L24" si="9">SUBTOTAL(9,K21:K23)</f>
        <v>11906416.5</v>
      </c>
      <c r="L24" s="15">
        <f t="shared" si="9"/>
        <v>0</v>
      </c>
      <c r="M24" s="15"/>
    </row>
    <row r="25" ht="13.5" customHeight="1" outlineLevel="1">
      <c r="A25" s="16" t="s">
        <v>48</v>
      </c>
      <c r="B25" s="7"/>
      <c r="C25" s="7"/>
      <c r="D25" s="7"/>
      <c r="E25" s="7"/>
      <c r="F25" s="7"/>
      <c r="G25" s="7"/>
      <c r="H25" s="14"/>
      <c r="I25" s="14"/>
      <c r="J25" s="8"/>
      <c r="K25" s="15">
        <f t="shared" ref="K25:L25" si="10">SUBTOTAL(9,K21:K23)</f>
        <v>11906416.5</v>
      </c>
      <c r="L25" s="15">
        <f t="shared" si="10"/>
        <v>0</v>
      </c>
      <c r="M25" s="15"/>
    </row>
    <row r="26" ht="13.5" customHeight="1" outlineLevel="3">
      <c r="A26" s="7" t="s">
        <v>49</v>
      </c>
      <c r="B26" s="7" t="s">
        <v>25</v>
      </c>
      <c r="C26" s="7" t="s">
        <v>50</v>
      </c>
      <c r="D26" s="7" t="s">
        <v>27</v>
      </c>
      <c r="E26" s="7" t="s">
        <v>19</v>
      </c>
      <c r="F26" s="7" t="s">
        <v>20</v>
      </c>
      <c r="G26" s="7" t="s">
        <v>51</v>
      </c>
      <c r="H26" s="14">
        <v>46055.0</v>
      </c>
      <c r="I26" s="14">
        <v>46113.0</v>
      </c>
      <c r="J26" s="8">
        <v>4.0</v>
      </c>
      <c r="K26" s="15">
        <v>1.598008424E7</v>
      </c>
      <c r="L26" s="15">
        <v>0.0</v>
      </c>
      <c r="M26" s="15">
        <v>0.0</v>
      </c>
    </row>
    <row r="27" ht="13.5" customHeight="1" outlineLevel="3">
      <c r="A27" s="7" t="s">
        <v>49</v>
      </c>
      <c r="B27" s="7" t="s">
        <v>25</v>
      </c>
      <c r="C27" s="7" t="s">
        <v>26</v>
      </c>
      <c r="D27" s="7" t="s">
        <v>27</v>
      </c>
      <c r="E27" s="7" t="s">
        <v>19</v>
      </c>
      <c r="F27" s="7" t="s">
        <v>20</v>
      </c>
      <c r="G27" s="7" t="s">
        <v>52</v>
      </c>
      <c r="H27" s="14">
        <v>46078.0</v>
      </c>
      <c r="I27" s="14">
        <v>46136.0</v>
      </c>
      <c r="J27" s="8">
        <v>27.0</v>
      </c>
      <c r="K27" s="15">
        <v>733745.47</v>
      </c>
      <c r="L27" s="15">
        <v>0.0</v>
      </c>
      <c r="M27" s="15">
        <v>0.0</v>
      </c>
    </row>
    <row r="28" ht="13.5" customHeight="1" outlineLevel="3">
      <c r="A28" s="7" t="s">
        <v>49</v>
      </c>
      <c r="B28" s="7" t="s">
        <v>25</v>
      </c>
      <c r="C28" s="7" t="s">
        <v>26</v>
      </c>
      <c r="D28" s="7" t="s">
        <v>27</v>
      </c>
      <c r="E28" s="7" t="s">
        <v>19</v>
      </c>
      <c r="F28" s="7" t="s">
        <v>20</v>
      </c>
      <c r="G28" s="7" t="s">
        <v>53</v>
      </c>
      <c r="H28" s="14">
        <v>46083.0</v>
      </c>
      <c r="I28" s="14">
        <v>46143.0</v>
      </c>
      <c r="J28" s="8">
        <v>34.0</v>
      </c>
      <c r="K28" s="15">
        <v>2162203.7</v>
      </c>
      <c r="L28" s="15">
        <v>0.0</v>
      </c>
      <c r="M28" s="15">
        <v>0.0</v>
      </c>
    </row>
    <row r="29" ht="13.5" customHeight="1" outlineLevel="2">
      <c r="A29" s="7"/>
      <c r="B29" s="7"/>
      <c r="C29" s="7"/>
      <c r="D29" s="7"/>
      <c r="E29" s="16" t="s">
        <v>22</v>
      </c>
      <c r="F29" s="7"/>
      <c r="G29" s="7"/>
      <c r="H29" s="14"/>
      <c r="I29" s="14"/>
      <c r="J29" s="8"/>
      <c r="K29" s="15">
        <f t="shared" ref="K29:L29" si="11">SUBTOTAL(9,K26:K28)</f>
        <v>18876033.41</v>
      </c>
      <c r="L29" s="15">
        <f t="shared" si="11"/>
        <v>0</v>
      </c>
      <c r="M29" s="15"/>
    </row>
    <row r="30" ht="13.5" customHeight="1" outlineLevel="1">
      <c r="A30" s="16" t="s">
        <v>54</v>
      </c>
      <c r="B30" s="7"/>
      <c r="C30" s="7"/>
      <c r="D30" s="7"/>
      <c r="E30" s="7"/>
      <c r="F30" s="7"/>
      <c r="G30" s="7"/>
      <c r="H30" s="14"/>
      <c r="I30" s="14"/>
      <c r="J30" s="8"/>
      <c r="K30" s="15">
        <f t="shared" ref="K30:L30" si="12">SUBTOTAL(9,K26:K28)</f>
        <v>18876033.41</v>
      </c>
      <c r="L30" s="15">
        <f t="shared" si="12"/>
        <v>0</v>
      </c>
      <c r="M30" s="15"/>
    </row>
    <row r="31" ht="13.5" customHeight="1" outlineLevel="3">
      <c r="A31" s="7" t="s">
        <v>55</v>
      </c>
      <c r="B31" s="7" t="s">
        <v>56</v>
      </c>
      <c r="C31" s="7" t="s">
        <v>45</v>
      </c>
      <c r="D31" s="7" t="s">
        <v>57</v>
      </c>
      <c r="E31" s="7" t="s">
        <v>19</v>
      </c>
      <c r="F31" s="7" t="s">
        <v>20</v>
      </c>
      <c r="G31" s="7" t="s">
        <v>58</v>
      </c>
      <c r="H31" s="14">
        <v>43124.0</v>
      </c>
      <c r="I31" s="14">
        <v>43167.0</v>
      </c>
      <c r="J31" s="8">
        <v>-2899.0</v>
      </c>
      <c r="K31" s="15">
        <v>4879626.5</v>
      </c>
      <c r="L31" s="15">
        <v>4879626.5</v>
      </c>
      <c r="M31" s="15">
        <v>4879626.5</v>
      </c>
    </row>
    <row r="32" ht="13.5" customHeight="1" outlineLevel="3">
      <c r="A32" s="7" t="s">
        <v>55</v>
      </c>
      <c r="B32" s="7" t="s">
        <v>56</v>
      </c>
      <c r="C32" s="7" t="s">
        <v>45</v>
      </c>
      <c r="D32" s="7" t="s">
        <v>57</v>
      </c>
      <c r="E32" s="7" t="s">
        <v>19</v>
      </c>
      <c r="F32" s="7" t="s">
        <v>20</v>
      </c>
      <c r="G32" s="7" t="s">
        <v>59</v>
      </c>
      <c r="H32" s="14">
        <v>43125.0</v>
      </c>
      <c r="I32" s="14">
        <v>43168.0</v>
      </c>
      <c r="J32" s="8">
        <v>-2898.0</v>
      </c>
      <c r="K32" s="15">
        <v>1.428057E7</v>
      </c>
      <c r="L32" s="15">
        <v>1.428057E7</v>
      </c>
      <c r="M32" s="15">
        <v>1.91601965E7</v>
      </c>
    </row>
    <row r="33" ht="13.5" customHeight="1" outlineLevel="3">
      <c r="A33" s="7" t="s">
        <v>55</v>
      </c>
      <c r="B33" s="7" t="s">
        <v>56</v>
      </c>
      <c r="C33" s="7" t="s">
        <v>60</v>
      </c>
      <c r="D33" s="7" t="s">
        <v>57</v>
      </c>
      <c r="E33" s="7" t="s">
        <v>19</v>
      </c>
      <c r="F33" s="7" t="s">
        <v>20</v>
      </c>
      <c r="G33" s="7" t="s">
        <v>61</v>
      </c>
      <c r="H33" s="14">
        <v>43362.0</v>
      </c>
      <c r="I33" s="14">
        <v>43407.0</v>
      </c>
      <c r="J33" s="8">
        <v>-2664.0</v>
      </c>
      <c r="K33" s="15">
        <v>5801700.0</v>
      </c>
      <c r="L33" s="15">
        <v>5801700.0</v>
      </c>
      <c r="M33" s="15">
        <v>2.49618965E7</v>
      </c>
    </row>
    <row r="34" ht="13.5" customHeight="1" outlineLevel="3">
      <c r="A34" s="7" t="s">
        <v>55</v>
      </c>
      <c r="B34" s="7" t="s">
        <v>56</v>
      </c>
      <c r="C34" s="7" t="s">
        <v>60</v>
      </c>
      <c r="D34" s="7" t="s">
        <v>57</v>
      </c>
      <c r="E34" s="7" t="s">
        <v>19</v>
      </c>
      <c r="F34" s="7" t="s">
        <v>20</v>
      </c>
      <c r="G34" s="7" t="s">
        <v>62</v>
      </c>
      <c r="H34" s="14">
        <v>43396.0</v>
      </c>
      <c r="I34" s="14">
        <v>43441.0</v>
      </c>
      <c r="J34" s="8">
        <v>-2630.0</v>
      </c>
      <c r="K34" s="15">
        <v>5843640.0</v>
      </c>
      <c r="L34" s="15">
        <v>5843640.0</v>
      </c>
      <c r="M34" s="15">
        <v>3.08055365E7</v>
      </c>
    </row>
    <row r="35" ht="13.5" customHeight="1" outlineLevel="2">
      <c r="A35" s="7"/>
      <c r="B35" s="7"/>
      <c r="C35" s="7"/>
      <c r="D35" s="7"/>
      <c r="E35" s="16" t="s">
        <v>22</v>
      </c>
      <c r="F35" s="7"/>
      <c r="G35" s="7"/>
      <c r="H35" s="14"/>
      <c r="I35" s="14"/>
      <c r="J35" s="8"/>
      <c r="K35" s="15">
        <f t="shared" ref="K35:L35" si="13">SUBTOTAL(9,K31:K34)</f>
        <v>30805536.5</v>
      </c>
      <c r="L35" s="15">
        <f t="shared" si="13"/>
        <v>30805536.5</v>
      </c>
      <c r="M35" s="15"/>
    </row>
    <row r="36" ht="13.5" customHeight="1" outlineLevel="1">
      <c r="A36" s="16" t="s">
        <v>63</v>
      </c>
      <c r="B36" s="7"/>
      <c r="C36" s="7"/>
      <c r="D36" s="7"/>
      <c r="E36" s="7"/>
      <c r="F36" s="7"/>
      <c r="G36" s="7"/>
      <c r="H36" s="14"/>
      <c r="I36" s="14"/>
      <c r="J36" s="8"/>
      <c r="K36" s="15">
        <f t="shared" ref="K36:L36" si="14">SUBTOTAL(9,K31:K34)</f>
        <v>30805536.5</v>
      </c>
      <c r="L36" s="15">
        <f t="shared" si="14"/>
        <v>30805536.5</v>
      </c>
      <c r="M36" s="15"/>
    </row>
    <row r="37" ht="13.5" customHeight="1" outlineLevel="3">
      <c r="A37" s="7" t="s">
        <v>64</v>
      </c>
      <c r="B37" s="7" t="s">
        <v>65</v>
      </c>
      <c r="C37" s="7" t="s">
        <v>45</v>
      </c>
      <c r="D37" s="7" t="s">
        <v>66</v>
      </c>
      <c r="E37" s="7" t="s">
        <v>19</v>
      </c>
      <c r="F37" s="7" t="s">
        <v>20</v>
      </c>
      <c r="G37" s="7" t="s">
        <v>67</v>
      </c>
      <c r="H37" s="14">
        <v>42789.0</v>
      </c>
      <c r="I37" s="14">
        <v>42816.0</v>
      </c>
      <c r="J37" s="8">
        <v>-3245.0</v>
      </c>
      <c r="K37" s="15">
        <v>260768.51</v>
      </c>
      <c r="L37" s="15">
        <v>260768.51</v>
      </c>
      <c r="M37" s="15">
        <v>260768.51</v>
      </c>
    </row>
    <row r="38" ht="13.5" customHeight="1" outlineLevel="3">
      <c r="A38" s="7" t="s">
        <v>64</v>
      </c>
      <c r="B38" s="7" t="s">
        <v>65</v>
      </c>
      <c r="C38" s="7" t="s">
        <v>17</v>
      </c>
      <c r="D38" s="7" t="s">
        <v>66</v>
      </c>
      <c r="E38" s="7" t="s">
        <v>19</v>
      </c>
      <c r="F38" s="7" t="s">
        <v>20</v>
      </c>
      <c r="G38" s="7" t="s">
        <v>68</v>
      </c>
      <c r="H38" s="14">
        <v>42789.0</v>
      </c>
      <c r="I38" s="14">
        <v>42816.0</v>
      </c>
      <c r="J38" s="8">
        <v>-3245.0</v>
      </c>
      <c r="K38" s="15">
        <v>442680.0</v>
      </c>
      <c r="L38" s="15">
        <v>442680.0</v>
      </c>
      <c r="M38" s="15">
        <v>703448.51</v>
      </c>
    </row>
    <row r="39" ht="13.5" customHeight="1" outlineLevel="3">
      <c r="A39" s="7" t="s">
        <v>64</v>
      </c>
      <c r="B39" s="7" t="s">
        <v>65</v>
      </c>
      <c r="C39" s="7" t="s">
        <v>17</v>
      </c>
      <c r="D39" s="7" t="s">
        <v>66</v>
      </c>
      <c r="E39" s="7" t="s">
        <v>19</v>
      </c>
      <c r="F39" s="7" t="s">
        <v>20</v>
      </c>
      <c r="G39" s="7" t="s">
        <v>69</v>
      </c>
      <c r="H39" s="14">
        <v>42800.0</v>
      </c>
      <c r="I39" s="14">
        <v>42860.0</v>
      </c>
      <c r="J39" s="8">
        <v>-3202.0</v>
      </c>
      <c r="K39" s="15">
        <v>417690.0</v>
      </c>
      <c r="L39" s="15">
        <v>417690.0</v>
      </c>
      <c r="M39" s="15">
        <v>1121138.51</v>
      </c>
    </row>
    <row r="40" ht="13.5" customHeight="1" outlineLevel="3">
      <c r="A40" s="7" t="s">
        <v>64</v>
      </c>
      <c r="B40" s="7" t="s">
        <v>65</v>
      </c>
      <c r="C40" s="7" t="s">
        <v>17</v>
      </c>
      <c r="D40" s="7" t="s">
        <v>66</v>
      </c>
      <c r="E40" s="7" t="s">
        <v>19</v>
      </c>
      <c r="F40" s="7" t="s">
        <v>20</v>
      </c>
      <c r="G40" s="7" t="s">
        <v>70</v>
      </c>
      <c r="H40" s="14">
        <v>42810.0</v>
      </c>
      <c r="I40" s="14">
        <v>42870.0</v>
      </c>
      <c r="J40" s="8">
        <v>-3192.0</v>
      </c>
      <c r="K40" s="15">
        <v>618800.0</v>
      </c>
      <c r="L40" s="15">
        <v>618800.0</v>
      </c>
      <c r="M40" s="15">
        <v>1739938.51</v>
      </c>
    </row>
    <row r="41" ht="13.5" customHeight="1" outlineLevel="3">
      <c r="A41" s="7" t="s">
        <v>64</v>
      </c>
      <c r="B41" s="7" t="s">
        <v>65</v>
      </c>
      <c r="C41" s="7" t="s">
        <v>17</v>
      </c>
      <c r="D41" s="7" t="s">
        <v>66</v>
      </c>
      <c r="E41" s="7" t="s">
        <v>19</v>
      </c>
      <c r="F41" s="7" t="s">
        <v>20</v>
      </c>
      <c r="G41" s="7" t="s">
        <v>71</v>
      </c>
      <c r="H41" s="14">
        <v>42829.0</v>
      </c>
      <c r="I41" s="14">
        <v>42889.0</v>
      </c>
      <c r="J41" s="8">
        <v>-3174.0</v>
      </c>
      <c r="K41" s="15">
        <v>294882.0</v>
      </c>
      <c r="L41" s="15">
        <v>294882.0</v>
      </c>
      <c r="M41" s="15">
        <v>2034820.51</v>
      </c>
    </row>
    <row r="42" ht="13.5" customHeight="1" outlineLevel="3">
      <c r="A42" s="7" t="s">
        <v>64</v>
      </c>
      <c r="B42" s="7" t="s">
        <v>65</v>
      </c>
      <c r="C42" s="7" t="s">
        <v>17</v>
      </c>
      <c r="D42" s="7" t="s">
        <v>66</v>
      </c>
      <c r="E42" s="7" t="s">
        <v>19</v>
      </c>
      <c r="F42" s="7" t="s">
        <v>20</v>
      </c>
      <c r="G42" s="7" t="s">
        <v>72</v>
      </c>
      <c r="H42" s="14">
        <v>42830.0</v>
      </c>
      <c r="I42" s="14">
        <v>42890.0</v>
      </c>
      <c r="J42" s="8">
        <v>-3173.0</v>
      </c>
      <c r="K42" s="15">
        <v>2861820.8</v>
      </c>
      <c r="L42" s="15">
        <v>2861820.8</v>
      </c>
      <c r="M42" s="15">
        <v>4896641.31</v>
      </c>
    </row>
    <row r="43" ht="13.5" customHeight="1" outlineLevel="3">
      <c r="A43" s="7" t="s">
        <v>64</v>
      </c>
      <c r="B43" s="7" t="s">
        <v>65</v>
      </c>
      <c r="C43" s="7" t="s">
        <v>73</v>
      </c>
      <c r="D43" s="7" t="s">
        <v>66</v>
      </c>
      <c r="E43" s="7" t="s">
        <v>19</v>
      </c>
      <c r="F43" s="7" t="s">
        <v>20</v>
      </c>
      <c r="G43" s="7" t="s">
        <v>74</v>
      </c>
      <c r="H43" s="14">
        <v>42845.0</v>
      </c>
      <c r="I43" s="14">
        <v>42905.0</v>
      </c>
      <c r="J43" s="8">
        <v>-3158.0</v>
      </c>
      <c r="K43" s="15">
        <v>428323.84</v>
      </c>
      <c r="L43" s="15">
        <v>428323.84</v>
      </c>
      <c r="M43" s="15">
        <v>5324965.15</v>
      </c>
    </row>
    <row r="44" ht="13.5" customHeight="1" outlineLevel="3">
      <c r="A44" s="7" t="s">
        <v>64</v>
      </c>
      <c r="B44" s="7" t="s">
        <v>65</v>
      </c>
      <c r="C44" s="7" t="s">
        <v>73</v>
      </c>
      <c r="D44" s="7" t="s">
        <v>66</v>
      </c>
      <c r="E44" s="7" t="s">
        <v>19</v>
      </c>
      <c r="F44" s="7" t="s">
        <v>20</v>
      </c>
      <c r="G44" s="7" t="s">
        <v>75</v>
      </c>
      <c r="H44" s="14">
        <v>42852.0</v>
      </c>
      <c r="I44" s="14">
        <v>42912.0</v>
      </c>
      <c r="J44" s="8">
        <v>-3151.0</v>
      </c>
      <c r="K44" s="15">
        <v>297309.6</v>
      </c>
      <c r="L44" s="15">
        <v>297309.6</v>
      </c>
      <c r="M44" s="15">
        <v>5622274.75</v>
      </c>
    </row>
    <row r="45" ht="13.5" customHeight="1" outlineLevel="3">
      <c r="A45" s="7" t="s">
        <v>64</v>
      </c>
      <c r="B45" s="7" t="s">
        <v>65</v>
      </c>
      <c r="C45" s="7" t="s">
        <v>73</v>
      </c>
      <c r="D45" s="7" t="s">
        <v>66</v>
      </c>
      <c r="E45" s="7" t="s">
        <v>19</v>
      </c>
      <c r="F45" s="7" t="s">
        <v>20</v>
      </c>
      <c r="G45" s="7" t="s">
        <v>76</v>
      </c>
      <c r="H45" s="14">
        <v>42852.0</v>
      </c>
      <c r="I45" s="14">
        <v>42912.0</v>
      </c>
      <c r="J45" s="8">
        <v>-3151.0</v>
      </c>
      <c r="K45" s="15">
        <v>468497.05</v>
      </c>
      <c r="L45" s="15">
        <v>468497.05</v>
      </c>
      <c r="M45" s="15">
        <v>6090771.8</v>
      </c>
    </row>
    <row r="46" ht="13.5" customHeight="1" outlineLevel="3">
      <c r="A46" s="7" t="s">
        <v>64</v>
      </c>
      <c r="B46" s="7" t="s">
        <v>65</v>
      </c>
      <c r="C46" s="7" t="s">
        <v>73</v>
      </c>
      <c r="D46" s="7" t="s">
        <v>66</v>
      </c>
      <c r="E46" s="7" t="s">
        <v>19</v>
      </c>
      <c r="F46" s="7" t="s">
        <v>20</v>
      </c>
      <c r="G46" s="7" t="s">
        <v>77</v>
      </c>
      <c r="H46" s="14">
        <v>42860.0</v>
      </c>
      <c r="I46" s="14">
        <v>42920.0</v>
      </c>
      <c r="J46" s="8">
        <v>-3143.0</v>
      </c>
      <c r="K46" s="15">
        <v>952000.0</v>
      </c>
      <c r="L46" s="15">
        <v>952000.0</v>
      </c>
      <c r="M46" s="15">
        <v>7042771.8</v>
      </c>
    </row>
    <row r="47" ht="13.5" customHeight="1" outlineLevel="3">
      <c r="A47" s="7" t="s">
        <v>64</v>
      </c>
      <c r="B47" s="7" t="s">
        <v>65</v>
      </c>
      <c r="C47" s="7" t="s">
        <v>73</v>
      </c>
      <c r="D47" s="7" t="s">
        <v>66</v>
      </c>
      <c r="E47" s="7" t="s">
        <v>19</v>
      </c>
      <c r="F47" s="7" t="s">
        <v>20</v>
      </c>
      <c r="G47" s="7" t="s">
        <v>78</v>
      </c>
      <c r="H47" s="14">
        <v>42866.0</v>
      </c>
      <c r="I47" s="14">
        <v>42926.0</v>
      </c>
      <c r="J47" s="8">
        <v>-3137.0</v>
      </c>
      <c r="K47" s="15">
        <v>1057027.36</v>
      </c>
      <c r="L47" s="15">
        <v>1057027.36</v>
      </c>
      <c r="M47" s="15">
        <v>8099799.16</v>
      </c>
    </row>
    <row r="48" ht="13.5" customHeight="1" outlineLevel="3">
      <c r="A48" s="7" t="s">
        <v>64</v>
      </c>
      <c r="B48" s="7" t="s">
        <v>65</v>
      </c>
      <c r="C48" s="7" t="s">
        <v>73</v>
      </c>
      <c r="D48" s="7" t="s">
        <v>66</v>
      </c>
      <c r="E48" s="7" t="s">
        <v>19</v>
      </c>
      <c r="F48" s="7" t="s">
        <v>20</v>
      </c>
      <c r="G48" s="7" t="s">
        <v>79</v>
      </c>
      <c r="H48" s="14">
        <v>42893.0</v>
      </c>
      <c r="I48" s="14">
        <v>42953.0</v>
      </c>
      <c r="J48" s="8">
        <v>-3111.0</v>
      </c>
      <c r="K48" s="15">
        <v>32890.0</v>
      </c>
      <c r="L48" s="15">
        <v>32890.0</v>
      </c>
      <c r="M48" s="15">
        <v>8132689.16</v>
      </c>
    </row>
    <row r="49" ht="13.5" customHeight="1" outlineLevel="3">
      <c r="A49" s="7" t="s">
        <v>64</v>
      </c>
      <c r="B49" s="7" t="s">
        <v>65</v>
      </c>
      <c r="C49" s="7" t="s">
        <v>17</v>
      </c>
      <c r="D49" s="7" t="s">
        <v>66</v>
      </c>
      <c r="E49" s="7" t="s">
        <v>19</v>
      </c>
      <c r="F49" s="7" t="s">
        <v>20</v>
      </c>
      <c r="G49" s="7" t="s">
        <v>80</v>
      </c>
      <c r="H49" s="14">
        <v>42779.0</v>
      </c>
      <c r="I49" s="14">
        <v>43235.0</v>
      </c>
      <c r="J49" s="8">
        <v>-2832.0</v>
      </c>
      <c r="K49" s="15">
        <v>215845.0</v>
      </c>
      <c r="L49" s="15">
        <v>215845.0</v>
      </c>
      <c r="M49" s="15">
        <v>8348534.16</v>
      </c>
    </row>
    <row r="50" ht="13.5" customHeight="1" outlineLevel="3">
      <c r="A50" s="7" t="s">
        <v>64</v>
      </c>
      <c r="B50" s="7" t="s">
        <v>65</v>
      </c>
      <c r="C50" s="7" t="s">
        <v>73</v>
      </c>
      <c r="D50" s="7" t="s">
        <v>66</v>
      </c>
      <c r="E50" s="7" t="s">
        <v>19</v>
      </c>
      <c r="F50" s="7" t="s">
        <v>20</v>
      </c>
      <c r="G50" s="7" t="s">
        <v>81</v>
      </c>
      <c r="H50" s="14">
        <v>43185.0</v>
      </c>
      <c r="I50" s="14">
        <v>43246.0</v>
      </c>
      <c r="J50" s="8">
        <v>-2821.0</v>
      </c>
      <c r="K50" s="15">
        <v>2649920.0</v>
      </c>
      <c r="L50" s="15">
        <v>2649920.0</v>
      </c>
      <c r="M50" s="15">
        <v>1.099845416E7</v>
      </c>
    </row>
    <row r="51" ht="13.5" customHeight="1" outlineLevel="3">
      <c r="A51" s="7" t="s">
        <v>64</v>
      </c>
      <c r="B51" s="7" t="s">
        <v>65</v>
      </c>
      <c r="C51" s="7" t="s">
        <v>73</v>
      </c>
      <c r="D51" s="7" t="s">
        <v>66</v>
      </c>
      <c r="E51" s="7" t="s">
        <v>19</v>
      </c>
      <c r="F51" s="7" t="s">
        <v>20</v>
      </c>
      <c r="G51" s="7" t="s">
        <v>82</v>
      </c>
      <c r="H51" s="14">
        <v>43244.0</v>
      </c>
      <c r="I51" s="14">
        <v>43304.0</v>
      </c>
      <c r="J51" s="8">
        <v>-2764.0</v>
      </c>
      <c r="K51" s="15">
        <v>2812.5</v>
      </c>
      <c r="L51" s="15">
        <v>2812.5</v>
      </c>
      <c r="M51" s="15">
        <v>1.100126666E7</v>
      </c>
    </row>
    <row r="52" ht="13.5" customHeight="1" outlineLevel="3">
      <c r="A52" s="7" t="s">
        <v>64</v>
      </c>
      <c r="B52" s="7" t="s">
        <v>65</v>
      </c>
      <c r="C52" s="7" t="s">
        <v>73</v>
      </c>
      <c r="D52" s="7" t="s">
        <v>66</v>
      </c>
      <c r="E52" s="7" t="s">
        <v>19</v>
      </c>
      <c r="F52" s="7" t="s">
        <v>20</v>
      </c>
      <c r="G52" s="7" t="s">
        <v>83</v>
      </c>
      <c r="H52" s="14">
        <v>43805.0</v>
      </c>
      <c r="I52" s="14">
        <v>43866.0</v>
      </c>
      <c r="J52" s="8">
        <v>-2212.0</v>
      </c>
      <c r="K52" s="15">
        <v>23277.05</v>
      </c>
      <c r="L52" s="15">
        <v>23277.05</v>
      </c>
      <c r="M52" s="15">
        <v>1.102454371E7</v>
      </c>
    </row>
    <row r="53" ht="13.5" customHeight="1" outlineLevel="3">
      <c r="A53" s="7" t="s">
        <v>64</v>
      </c>
      <c r="B53" s="7" t="s">
        <v>65</v>
      </c>
      <c r="C53" s="7" t="s">
        <v>17</v>
      </c>
      <c r="D53" s="7" t="s">
        <v>66</v>
      </c>
      <c r="E53" s="7" t="s">
        <v>19</v>
      </c>
      <c r="F53" s="7" t="s">
        <v>20</v>
      </c>
      <c r="G53" s="7" t="s">
        <v>84</v>
      </c>
      <c r="H53" s="14">
        <v>44893.0</v>
      </c>
      <c r="I53" s="14">
        <v>44938.0</v>
      </c>
      <c r="J53" s="8">
        <v>-1155.0</v>
      </c>
      <c r="K53" s="15">
        <v>0.0</v>
      </c>
      <c r="L53" s="15">
        <v>0.0</v>
      </c>
      <c r="M53" s="15">
        <v>1.102454371E7</v>
      </c>
    </row>
    <row r="54" ht="13.5" customHeight="1" outlineLevel="3">
      <c r="A54" s="7" t="s">
        <v>64</v>
      </c>
      <c r="B54" s="7" t="s">
        <v>65</v>
      </c>
      <c r="C54" s="7" t="s">
        <v>45</v>
      </c>
      <c r="D54" s="7" t="s">
        <v>66</v>
      </c>
      <c r="E54" s="7" t="s">
        <v>19</v>
      </c>
      <c r="F54" s="7" t="s">
        <v>20</v>
      </c>
      <c r="G54" s="7" t="s">
        <v>85</v>
      </c>
      <c r="H54" s="14">
        <v>45278.0</v>
      </c>
      <c r="I54" s="14">
        <v>45324.0</v>
      </c>
      <c r="J54" s="8">
        <v>-775.0</v>
      </c>
      <c r="K54" s="15">
        <v>2759629.48</v>
      </c>
      <c r="L54" s="15">
        <v>2759629.48</v>
      </c>
      <c r="M54" s="15">
        <v>1.378417319E7</v>
      </c>
    </row>
    <row r="55" ht="13.5" customHeight="1" outlineLevel="3">
      <c r="A55" s="7" t="s">
        <v>64</v>
      </c>
      <c r="B55" s="7" t="s">
        <v>65</v>
      </c>
      <c r="C55" s="7" t="s">
        <v>86</v>
      </c>
      <c r="D55" s="7" t="s">
        <v>66</v>
      </c>
      <c r="E55" s="7" t="s">
        <v>19</v>
      </c>
      <c r="F55" s="7" t="s">
        <v>20</v>
      </c>
      <c r="G55" s="7" t="s">
        <v>87</v>
      </c>
      <c r="H55" s="14">
        <v>45488.0</v>
      </c>
      <c r="I55" s="14">
        <v>45533.0</v>
      </c>
      <c r="J55" s="8">
        <v>-568.0</v>
      </c>
      <c r="K55" s="15">
        <v>8667833.0</v>
      </c>
      <c r="L55" s="15">
        <v>8667833.0</v>
      </c>
      <c r="M55" s="15">
        <v>2.245200619E7</v>
      </c>
    </row>
    <row r="56" ht="13.5" customHeight="1" outlineLevel="3">
      <c r="A56" s="7" t="s">
        <v>64</v>
      </c>
      <c r="B56" s="7" t="s">
        <v>65</v>
      </c>
      <c r="C56" s="7" t="s">
        <v>86</v>
      </c>
      <c r="D56" s="7" t="s">
        <v>66</v>
      </c>
      <c r="E56" s="7" t="s">
        <v>19</v>
      </c>
      <c r="F56" s="7" t="s">
        <v>20</v>
      </c>
      <c r="G56" s="7" t="s">
        <v>88</v>
      </c>
      <c r="H56" s="14">
        <v>45488.0</v>
      </c>
      <c r="I56" s="14">
        <v>45533.0</v>
      </c>
      <c r="J56" s="8">
        <v>-568.0</v>
      </c>
      <c r="K56" s="15">
        <v>2282543.72</v>
      </c>
      <c r="L56" s="15">
        <v>2282543.72</v>
      </c>
      <c r="M56" s="15">
        <v>2.473454991E7</v>
      </c>
    </row>
    <row r="57" ht="13.5" customHeight="1" outlineLevel="3">
      <c r="A57" s="7" t="s">
        <v>64</v>
      </c>
      <c r="B57" s="7" t="s">
        <v>65</v>
      </c>
      <c r="C57" s="7" t="s">
        <v>86</v>
      </c>
      <c r="D57" s="7" t="s">
        <v>66</v>
      </c>
      <c r="E57" s="7" t="s">
        <v>19</v>
      </c>
      <c r="F57" s="7" t="s">
        <v>20</v>
      </c>
      <c r="G57" s="7" t="s">
        <v>89</v>
      </c>
      <c r="H57" s="14">
        <v>45490.0</v>
      </c>
      <c r="I57" s="14">
        <v>45536.0</v>
      </c>
      <c r="J57" s="8">
        <v>-566.0</v>
      </c>
      <c r="K57" s="15">
        <v>1.1770228E7</v>
      </c>
      <c r="L57" s="15">
        <v>1.1770228E7</v>
      </c>
      <c r="M57" s="15">
        <v>3.650477791E7</v>
      </c>
    </row>
    <row r="58" ht="13.5" customHeight="1" outlineLevel="3">
      <c r="A58" s="7" t="s">
        <v>64</v>
      </c>
      <c r="B58" s="7" t="s">
        <v>65</v>
      </c>
      <c r="C58" s="7" t="s">
        <v>86</v>
      </c>
      <c r="D58" s="7" t="s">
        <v>66</v>
      </c>
      <c r="E58" s="7" t="s">
        <v>19</v>
      </c>
      <c r="F58" s="7" t="s">
        <v>20</v>
      </c>
      <c r="G58" s="7" t="s">
        <v>90</v>
      </c>
      <c r="H58" s="14">
        <v>45490.0</v>
      </c>
      <c r="I58" s="14">
        <v>45536.0</v>
      </c>
      <c r="J58" s="8">
        <v>-566.0</v>
      </c>
      <c r="K58" s="15">
        <v>4274146.17</v>
      </c>
      <c r="L58" s="15">
        <v>4274146.17</v>
      </c>
      <c r="M58" s="15">
        <v>4.077892408E7</v>
      </c>
    </row>
    <row r="59" ht="13.5" customHeight="1" outlineLevel="3">
      <c r="A59" s="7" t="s">
        <v>64</v>
      </c>
      <c r="B59" s="7" t="s">
        <v>65</v>
      </c>
      <c r="C59" s="7" t="s">
        <v>86</v>
      </c>
      <c r="D59" s="7" t="s">
        <v>66</v>
      </c>
      <c r="E59" s="7" t="s">
        <v>19</v>
      </c>
      <c r="F59" s="7" t="s">
        <v>20</v>
      </c>
      <c r="G59" s="7" t="s">
        <v>91</v>
      </c>
      <c r="H59" s="14">
        <v>45495.0</v>
      </c>
      <c r="I59" s="14">
        <v>45541.0</v>
      </c>
      <c r="J59" s="8">
        <v>-561.0</v>
      </c>
      <c r="K59" s="15">
        <v>1154847.4</v>
      </c>
      <c r="L59" s="15">
        <v>1154847.4</v>
      </c>
      <c r="M59" s="15">
        <v>4.193377148E7</v>
      </c>
    </row>
    <row r="60" ht="13.5" customHeight="1" outlineLevel="3">
      <c r="A60" s="7" t="s">
        <v>64</v>
      </c>
      <c r="B60" s="7" t="s">
        <v>65</v>
      </c>
      <c r="C60" s="7" t="s">
        <v>86</v>
      </c>
      <c r="D60" s="7" t="s">
        <v>66</v>
      </c>
      <c r="E60" s="7" t="s">
        <v>19</v>
      </c>
      <c r="F60" s="7" t="s">
        <v>20</v>
      </c>
      <c r="G60" s="7" t="s">
        <v>92</v>
      </c>
      <c r="H60" s="14">
        <v>45513.0</v>
      </c>
      <c r="I60" s="14">
        <v>45558.0</v>
      </c>
      <c r="J60" s="8">
        <v>-544.0</v>
      </c>
      <c r="K60" s="15">
        <v>1.62184077E7</v>
      </c>
      <c r="L60" s="15">
        <v>1.62184077E7</v>
      </c>
      <c r="M60" s="15">
        <v>5.815217918E7</v>
      </c>
    </row>
    <row r="61" ht="13.5" customHeight="1" outlineLevel="3">
      <c r="A61" s="7" t="s">
        <v>64</v>
      </c>
      <c r="B61" s="7" t="s">
        <v>65</v>
      </c>
      <c r="C61" s="7" t="s">
        <v>86</v>
      </c>
      <c r="D61" s="7" t="s">
        <v>66</v>
      </c>
      <c r="E61" s="7" t="s">
        <v>19</v>
      </c>
      <c r="F61" s="7" t="s">
        <v>20</v>
      </c>
      <c r="G61" s="7" t="s">
        <v>93</v>
      </c>
      <c r="H61" s="14">
        <v>45517.0</v>
      </c>
      <c r="I61" s="14">
        <v>45562.0</v>
      </c>
      <c r="J61" s="8">
        <v>-540.0</v>
      </c>
      <c r="K61" s="15">
        <v>2274080.0</v>
      </c>
      <c r="L61" s="15">
        <v>2274080.0</v>
      </c>
      <c r="M61" s="15">
        <v>6.042625918E7</v>
      </c>
    </row>
    <row r="62" ht="13.5" customHeight="1" outlineLevel="3">
      <c r="A62" s="7" t="s">
        <v>64</v>
      </c>
      <c r="B62" s="7" t="s">
        <v>65</v>
      </c>
      <c r="C62" s="7" t="s">
        <v>86</v>
      </c>
      <c r="D62" s="7" t="s">
        <v>66</v>
      </c>
      <c r="E62" s="7" t="s">
        <v>19</v>
      </c>
      <c r="F62" s="7" t="s">
        <v>20</v>
      </c>
      <c r="G62" s="7" t="s">
        <v>94</v>
      </c>
      <c r="H62" s="14">
        <v>45533.0</v>
      </c>
      <c r="I62" s="14">
        <v>45578.0</v>
      </c>
      <c r="J62" s="8">
        <v>-524.0</v>
      </c>
      <c r="K62" s="15">
        <v>1786457.6</v>
      </c>
      <c r="L62" s="15">
        <v>1786457.6</v>
      </c>
      <c r="M62" s="15">
        <v>6.221271678E7</v>
      </c>
    </row>
    <row r="63" ht="13.5" customHeight="1" outlineLevel="3">
      <c r="A63" s="7" t="s">
        <v>64</v>
      </c>
      <c r="B63" s="7" t="s">
        <v>65</v>
      </c>
      <c r="C63" s="7" t="s">
        <v>86</v>
      </c>
      <c r="D63" s="7" t="s">
        <v>66</v>
      </c>
      <c r="E63" s="7" t="s">
        <v>19</v>
      </c>
      <c r="F63" s="7" t="s">
        <v>20</v>
      </c>
      <c r="G63" s="7" t="s">
        <v>95</v>
      </c>
      <c r="H63" s="14">
        <v>45533.0</v>
      </c>
      <c r="I63" s="14">
        <v>45578.0</v>
      </c>
      <c r="J63" s="8">
        <v>-524.0</v>
      </c>
      <c r="K63" s="15">
        <v>9708993.5</v>
      </c>
      <c r="L63" s="15">
        <v>9708993.5</v>
      </c>
      <c r="M63" s="15">
        <v>7.192171028E7</v>
      </c>
    </row>
    <row r="64" ht="13.5" customHeight="1" outlineLevel="3">
      <c r="A64" s="7" t="s">
        <v>64</v>
      </c>
      <c r="B64" s="7" t="s">
        <v>65</v>
      </c>
      <c r="C64" s="7" t="s">
        <v>45</v>
      </c>
      <c r="D64" s="7" t="s">
        <v>66</v>
      </c>
      <c r="E64" s="7" t="s">
        <v>19</v>
      </c>
      <c r="F64" s="7" t="s">
        <v>20</v>
      </c>
      <c r="G64" s="7" t="s">
        <v>96</v>
      </c>
      <c r="H64" s="14">
        <v>45980.0</v>
      </c>
      <c r="I64" s="14">
        <v>45980.0</v>
      </c>
      <c r="J64" s="8">
        <v>-128.0</v>
      </c>
      <c r="K64" s="15">
        <v>-4150079.38</v>
      </c>
      <c r="L64" s="15">
        <v>-4150079.38</v>
      </c>
      <c r="M64" s="15">
        <v>6.77716309E7</v>
      </c>
    </row>
    <row r="65" ht="13.5" customHeight="1" outlineLevel="2">
      <c r="A65" s="7"/>
      <c r="B65" s="7"/>
      <c r="C65" s="7"/>
      <c r="D65" s="7"/>
      <c r="E65" s="16" t="s">
        <v>22</v>
      </c>
      <c r="F65" s="7"/>
      <c r="G65" s="7"/>
      <c r="H65" s="14"/>
      <c r="I65" s="14"/>
      <c r="J65" s="8"/>
      <c r="K65" s="15">
        <f t="shared" ref="K65:L65" si="15">SUBTOTAL(9,K37:K64)</f>
        <v>67771630.9</v>
      </c>
      <c r="L65" s="15">
        <f t="shared" si="15"/>
        <v>67771630.9</v>
      </c>
      <c r="M65" s="15"/>
    </row>
    <row r="66" ht="13.5" customHeight="1" outlineLevel="1">
      <c r="A66" s="16" t="s">
        <v>97</v>
      </c>
      <c r="B66" s="7"/>
      <c r="C66" s="7"/>
      <c r="D66" s="7"/>
      <c r="E66" s="7"/>
      <c r="F66" s="7"/>
      <c r="G66" s="7"/>
      <c r="H66" s="14"/>
      <c r="I66" s="14"/>
      <c r="J66" s="8"/>
      <c r="K66" s="15">
        <f t="shared" ref="K66:L66" si="16">SUBTOTAL(9,K37:K64)</f>
        <v>67771630.9</v>
      </c>
      <c r="L66" s="15">
        <f t="shared" si="16"/>
        <v>67771630.9</v>
      </c>
      <c r="M66" s="15"/>
    </row>
    <row r="67" ht="13.5" customHeight="1" outlineLevel="3">
      <c r="A67" s="7" t="s">
        <v>98</v>
      </c>
      <c r="B67" s="7" t="s">
        <v>99</v>
      </c>
      <c r="C67" s="7" t="s">
        <v>26</v>
      </c>
      <c r="D67" s="7" t="s">
        <v>27</v>
      </c>
      <c r="E67" s="7" t="s">
        <v>19</v>
      </c>
      <c r="F67" s="7" t="s">
        <v>20</v>
      </c>
      <c r="G67" s="7" t="s">
        <v>100</v>
      </c>
      <c r="H67" s="14">
        <v>46065.0</v>
      </c>
      <c r="I67" s="14">
        <v>46123.0</v>
      </c>
      <c r="J67" s="8">
        <v>14.0</v>
      </c>
      <c r="K67" s="15">
        <v>181202.0</v>
      </c>
      <c r="L67" s="15">
        <v>0.0</v>
      </c>
      <c r="M67" s="15">
        <v>0.0</v>
      </c>
    </row>
    <row r="68" ht="13.5" customHeight="1" outlineLevel="3">
      <c r="A68" s="7" t="s">
        <v>98</v>
      </c>
      <c r="B68" s="7" t="s">
        <v>99</v>
      </c>
      <c r="C68" s="7" t="s">
        <v>26</v>
      </c>
      <c r="D68" s="7" t="s">
        <v>27</v>
      </c>
      <c r="E68" s="7" t="s">
        <v>19</v>
      </c>
      <c r="F68" s="7" t="s">
        <v>20</v>
      </c>
      <c r="G68" s="7" t="s">
        <v>101</v>
      </c>
      <c r="H68" s="14">
        <v>46086.0</v>
      </c>
      <c r="I68" s="14">
        <v>46146.0</v>
      </c>
      <c r="J68" s="8">
        <v>37.0</v>
      </c>
      <c r="K68" s="15">
        <v>1805407.5</v>
      </c>
      <c r="L68" s="15">
        <v>0.0</v>
      </c>
      <c r="M68" s="15">
        <v>0.0</v>
      </c>
    </row>
    <row r="69" ht="13.5" customHeight="1" outlineLevel="3">
      <c r="A69" s="7" t="s">
        <v>98</v>
      </c>
      <c r="B69" s="7" t="s">
        <v>99</v>
      </c>
      <c r="C69" s="7" t="s">
        <v>26</v>
      </c>
      <c r="D69" s="7" t="s">
        <v>27</v>
      </c>
      <c r="E69" s="7" t="s">
        <v>19</v>
      </c>
      <c r="F69" s="7" t="s">
        <v>20</v>
      </c>
      <c r="G69" s="7" t="s">
        <v>102</v>
      </c>
      <c r="H69" s="14">
        <v>46086.0</v>
      </c>
      <c r="I69" s="14">
        <v>46146.0</v>
      </c>
      <c r="J69" s="8">
        <v>37.0</v>
      </c>
      <c r="K69" s="15">
        <v>4158706.5</v>
      </c>
      <c r="L69" s="15">
        <v>0.0</v>
      </c>
      <c r="M69" s="15">
        <v>0.0</v>
      </c>
    </row>
    <row r="70" ht="13.5" customHeight="1" outlineLevel="3">
      <c r="A70" s="7" t="s">
        <v>98</v>
      </c>
      <c r="B70" s="7" t="s">
        <v>99</v>
      </c>
      <c r="C70" s="7" t="s">
        <v>26</v>
      </c>
      <c r="D70" s="7" t="s">
        <v>27</v>
      </c>
      <c r="E70" s="7" t="s">
        <v>19</v>
      </c>
      <c r="F70" s="7" t="s">
        <v>20</v>
      </c>
      <c r="G70" s="7" t="s">
        <v>103</v>
      </c>
      <c r="H70" s="14">
        <v>46086.0</v>
      </c>
      <c r="I70" s="14">
        <v>46146.0</v>
      </c>
      <c r="J70" s="8">
        <v>37.0</v>
      </c>
      <c r="K70" s="15">
        <v>9078888.0</v>
      </c>
      <c r="L70" s="15">
        <v>0.0</v>
      </c>
      <c r="M70" s="15">
        <v>0.0</v>
      </c>
    </row>
    <row r="71" ht="13.5" customHeight="1" outlineLevel="3">
      <c r="A71" s="7" t="s">
        <v>98</v>
      </c>
      <c r="B71" s="7" t="s">
        <v>99</v>
      </c>
      <c r="C71" s="7" t="s">
        <v>26</v>
      </c>
      <c r="D71" s="7" t="s">
        <v>27</v>
      </c>
      <c r="E71" s="7" t="s">
        <v>19</v>
      </c>
      <c r="F71" s="7" t="s">
        <v>20</v>
      </c>
      <c r="G71" s="7" t="s">
        <v>104</v>
      </c>
      <c r="H71" s="14">
        <v>46098.0</v>
      </c>
      <c r="I71" s="14">
        <v>46158.0</v>
      </c>
      <c r="J71" s="8">
        <v>49.0</v>
      </c>
      <c r="K71" s="15">
        <v>5424748.87</v>
      </c>
      <c r="L71" s="15">
        <v>0.0</v>
      </c>
      <c r="M71" s="15">
        <v>0.0</v>
      </c>
    </row>
    <row r="72" ht="13.5" customHeight="1" outlineLevel="3">
      <c r="A72" s="7" t="s">
        <v>98</v>
      </c>
      <c r="B72" s="7" t="s">
        <v>99</v>
      </c>
      <c r="C72" s="7" t="s">
        <v>26</v>
      </c>
      <c r="D72" s="7" t="s">
        <v>27</v>
      </c>
      <c r="E72" s="7" t="s">
        <v>19</v>
      </c>
      <c r="F72" s="7" t="s">
        <v>20</v>
      </c>
      <c r="G72" s="7" t="s">
        <v>105</v>
      </c>
      <c r="H72" s="14">
        <v>46107.0</v>
      </c>
      <c r="I72" s="14">
        <v>46167.0</v>
      </c>
      <c r="J72" s="8">
        <v>58.0</v>
      </c>
      <c r="K72" s="15">
        <v>1.0201776E7</v>
      </c>
      <c r="L72" s="15">
        <v>0.0</v>
      </c>
      <c r="M72" s="15">
        <v>0.0</v>
      </c>
    </row>
    <row r="73" ht="13.5" customHeight="1" outlineLevel="2">
      <c r="A73" s="7"/>
      <c r="B73" s="7"/>
      <c r="C73" s="7"/>
      <c r="D73" s="7"/>
      <c r="E73" s="16" t="s">
        <v>22</v>
      </c>
      <c r="F73" s="7"/>
      <c r="G73" s="7"/>
      <c r="H73" s="14"/>
      <c r="I73" s="14"/>
      <c r="J73" s="8"/>
      <c r="K73" s="15">
        <f t="shared" ref="K73:L73" si="17">SUBTOTAL(9,K67:K72)</f>
        <v>30850728.87</v>
      </c>
      <c r="L73" s="15">
        <f t="shared" si="17"/>
        <v>0</v>
      </c>
      <c r="M73" s="15"/>
    </row>
    <row r="74" ht="13.5" customHeight="1" outlineLevel="1">
      <c r="A74" s="16" t="s">
        <v>106</v>
      </c>
      <c r="B74" s="7"/>
      <c r="C74" s="7"/>
      <c r="D74" s="7"/>
      <c r="E74" s="7"/>
      <c r="F74" s="7"/>
      <c r="G74" s="7"/>
      <c r="H74" s="14"/>
      <c r="I74" s="14"/>
      <c r="J74" s="8"/>
      <c r="K74" s="15">
        <f t="shared" ref="K74:L74" si="18">SUBTOTAL(9,K67:K72)</f>
        <v>30850728.87</v>
      </c>
      <c r="L74" s="15">
        <f t="shared" si="18"/>
        <v>0</v>
      </c>
      <c r="M74" s="15"/>
    </row>
    <row r="75" ht="13.5" customHeight="1" outlineLevel="3">
      <c r="A75" s="7" t="s">
        <v>107</v>
      </c>
      <c r="B75" s="7" t="s">
        <v>108</v>
      </c>
      <c r="C75" s="7" t="s">
        <v>26</v>
      </c>
      <c r="D75" s="7" t="s">
        <v>27</v>
      </c>
      <c r="E75" s="7" t="s">
        <v>19</v>
      </c>
      <c r="F75" s="7" t="s">
        <v>20</v>
      </c>
      <c r="G75" s="7" t="s">
        <v>109</v>
      </c>
      <c r="H75" s="14">
        <v>46069.0</v>
      </c>
      <c r="I75" s="14">
        <v>46096.0</v>
      </c>
      <c r="J75" s="8">
        <v>-12.0</v>
      </c>
      <c r="K75" s="15">
        <v>4481172.5</v>
      </c>
      <c r="L75" s="15">
        <v>4481172.5</v>
      </c>
      <c r="M75" s="15">
        <v>4481172.5</v>
      </c>
    </row>
    <row r="76" ht="13.5" customHeight="1" outlineLevel="3">
      <c r="A76" s="7" t="s">
        <v>107</v>
      </c>
      <c r="B76" s="7" t="s">
        <v>108</v>
      </c>
      <c r="C76" s="7" t="s">
        <v>26</v>
      </c>
      <c r="D76" s="7" t="s">
        <v>27</v>
      </c>
      <c r="E76" s="7" t="s">
        <v>19</v>
      </c>
      <c r="F76" s="7" t="s">
        <v>20</v>
      </c>
      <c r="G76" s="7" t="s">
        <v>110</v>
      </c>
      <c r="H76" s="14">
        <v>46093.0</v>
      </c>
      <c r="I76" s="14">
        <v>46123.0</v>
      </c>
      <c r="J76" s="8">
        <v>14.0</v>
      </c>
      <c r="K76" s="15">
        <v>1.501574325E7</v>
      </c>
      <c r="L76" s="15">
        <v>0.0</v>
      </c>
      <c r="M76" s="15">
        <v>4481172.5</v>
      </c>
    </row>
    <row r="77" ht="13.5" customHeight="1" outlineLevel="2">
      <c r="A77" s="7"/>
      <c r="B77" s="7"/>
      <c r="C77" s="7"/>
      <c r="D77" s="7"/>
      <c r="E77" s="16" t="s">
        <v>22</v>
      </c>
      <c r="F77" s="7"/>
      <c r="G77" s="7"/>
      <c r="H77" s="14"/>
      <c r="I77" s="14"/>
      <c r="J77" s="8"/>
      <c r="K77" s="15">
        <f t="shared" ref="K77:L77" si="19">SUBTOTAL(9,K75:K76)</f>
        <v>19496915.75</v>
      </c>
      <c r="L77" s="15">
        <f t="shared" si="19"/>
        <v>4481172.5</v>
      </c>
      <c r="M77" s="15"/>
    </row>
    <row r="78" ht="13.5" customHeight="1" outlineLevel="1">
      <c r="A78" s="16" t="s">
        <v>111</v>
      </c>
      <c r="B78" s="7"/>
      <c r="C78" s="7"/>
      <c r="D78" s="7"/>
      <c r="E78" s="7"/>
      <c r="F78" s="7"/>
      <c r="G78" s="7"/>
      <c r="H78" s="14"/>
      <c r="I78" s="14"/>
      <c r="J78" s="8"/>
      <c r="K78" s="15">
        <f t="shared" ref="K78:L78" si="20">SUBTOTAL(9,K75:K76)</f>
        <v>19496915.75</v>
      </c>
      <c r="L78" s="15">
        <f t="shared" si="20"/>
        <v>4481172.5</v>
      </c>
      <c r="M78" s="15"/>
    </row>
    <row r="79" ht="13.5" customHeight="1" outlineLevel="3">
      <c r="A79" s="7" t="s">
        <v>112</v>
      </c>
      <c r="B79" s="7" t="s">
        <v>65</v>
      </c>
      <c r="C79" s="7" t="s">
        <v>26</v>
      </c>
      <c r="D79" s="7" t="s">
        <v>27</v>
      </c>
      <c r="E79" s="7" t="s">
        <v>19</v>
      </c>
      <c r="F79" s="7" t="s">
        <v>20</v>
      </c>
      <c r="G79" s="7" t="s">
        <v>113</v>
      </c>
      <c r="H79" s="14">
        <v>46084.0</v>
      </c>
      <c r="I79" s="14">
        <v>46144.0</v>
      </c>
      <c r="J79" s="8">
        <v>35.0</v>
      </c>
      <c r="K79" s="15">
        <v>2831940.25</v>
      </c>
      <c r="L79" s="15">
        <v>0.0</v>
      </c>
      <c r="M79" s="15">
        <v>0.0</v>
      </c>
    </row>
    <row r="80" ht="13.5" customHeight="1" outlineLevel="2">
      <c r="A80" s="7"/>
      <c r="B80" s="7"/>
      <c r="C80" s="7"/>
      <c r="D80" s="7"/>
      <c r="E80" s="16" t="s">
        <v>22</v>
      </c>
      <c r="F80" s="7"/>
      <c r="G80" s="7"/>
      <c r="H80" s="14"/>
      <c r="I80" s="14"/>
      <c r="J80" s="8"/>
      <c r="K80" s="15">
        <f t="shared" ref="K80:L80" si="21">SUBTOTAL(9,K79)</f>
        <v>2831940.25</v>
      </c>
      <c r="L80" s="15">
        <f t="shared" si="21"/>
        <v>0</v>
      </c>
      <c r="M80" s="15"/>
    </row>
    <row r="81" ht="13.5" customHeight="1" outlineLevel="1">
      <c r="A81" s="16" t="s">
        <v>114</v>
      </c>
      <c r="B81" s="7"/>
      <c r="C81" s="7"/>
      <c r="D81" s="7"/>
      <c r="E81" s="7"/>
      <c r="F81" s="7"/>
      <c r="G81" s="7"/>
      <c r="H81" s="14"/>
      <c r="I81" s="14"/>
      <c r="J81" s="8"/>
      <c r="K81" s="15">
        <f t="shared" ref="K81:L81" si="22">SUBTOTAL(9,K79)</f>
        <v>2831940.25</v>
      </c>
      <c r="L81" s="15">
        <f t="shared" si="22"/>
        <v>0</v>
      </c>
      <c r="M81" s="15"/>
    </row>
    <row r="82" ht="13.5" customHeight="1" outlineLevel="3">
      <c r="A82" s="7" t="s">
        <v>115</v>
      </c>
      <c r="B82" s="7" t="s">
        <v>25</v>
      </c>
      <c r="C82" s="7" t="s">
        <v>45</v>
      </c>
      <c r="D82" s="7" t="s">
        <v>116</v>
      </c>
      <c r="E82" s="7" t="s">
        <v>19</v>
      </c>
      <c r="F82" s="7" t="s">
        <v>20</v>
      </c>
      <c r="G82" s="7" t="s">
        <v>117</v>
      </c>
      <c r="H82" s="14">
        <v>44242.0</v>
      </c>
      <c r="I82" s="14">
        <v>44293.0</v>
      </c>
      <c r="J82" s="8">
        <v>-1790.0</v>
      </c>
      <c r="K82" s="15">
        <v>1290250.36</v>
      </c>
      <c r="L82" s="15">
        <v>1290250.36</v>
      </c>
      <c r="M82" s="15">
        <v>1290250.36</v>
      </c>
    </row>
    <row r="83" ht="13.5" customHeight="1" outlineLevel="3">
      <c r="A83" s="7" t="s">
        <v>115</v>
      </c>
      <c r="B83" s="7" t="s">
        <v>25</v>
      </c>
      <c r="C83" s="7" t="s">
        <v>118</v>
      </c>
      <c r="D83" s="7" t="s">
        <v>116</v>
      </c>
      <c r="E83" s="7" t="s">
        <v>19</v>
      </c>
      <c r="F83" s="7" t="s">
        <v>20</v>
      </c>
      <c r="G83" s="7" t="s">
        <v>119</v>
      </c>
      <c r="H83" s="14">
        <v>44260.0</v>
      </c>
      <c r="I83" s="14">
        <v>44320.0</v>
      </c>
      <c r="J83" s="8">
        <v>-1763.0</v>
      </c>
      <c r="K83" s="15">
        <v>9981292.42</v>
      </c>
      <c r="L83" s="15">
        <v>9981292.42</v>
      </c>
      <c r="M83" s="15">
        <v>1.127154278E7</v>
      </c>
    </row>
    <row r="84" ht="13.5" customHeight="1" outlineLevel="2">
      <c r="A84" s="7"/>
      <c r="B84" s="7"/>
      <c r="C84" s="7"/>
      <c r="D84" s="7"/>
      <c r="E84" s="16" t="s">
        <v>22</v>
      </c>
      <c r="F84" s="7"/>
      <c r="G84" s="7"/>
      <c r="H84" s="14"/>
      <c r="I84" s="14"/>
      <c r="J84" s="8"/>
      <c r="K84" s="15">
        <f t="shared" ref="K84:L84" si="23">SUBTOTAL(9,K82:K83)</f>
        <v>11271542.78</v>
      </c>
      <c r="L84" s="15">
        <f t="shared" si="23"/>
        <v>11271542.78</v>
      </c>
      <c r="M84" s="15"/>
    </row>
    <row r="85" ht="13.5" customHeight="1" outlineLevel="1">
      <c r="A85" s="16" t="s">
        <v>120</v>
      </c>
      <c r="B85" s="7"/>
      <c r="C85" s="7"/>
      <c r="D85" s="7"/>
      <c r="E85" s="7"/>
      <c r="F85" s="7"/>
      <c r="G85" s="7"/>
      <c r="H85" s="14"/>
      <c r="I85" s="14"/>
      <c r="J85" s="8"/>
      <c r="K85" s="15">
        <f t="shared" ref="K85:L85" si="24">SUBTOTAL(9,K82:K83)</f>
        <v>11271542.78</v>
      </c>
      <c r="L85" s="15">
        <f t="shared" si="24"/>
        <v>11271542.78</v>
      </c>
      <c r="M85" s="15"/>
    </row>
    <row r="86" ht="13.5" customHeight="1" outlineLevel="3">
      <c r="A86" s="7" t="s">
        <v>121</v>
      </c>
      <c r="B86" s="7" t="s">
        <v>25</v>
      </c>
      <c r="C86" s="7" t="s">
        <v>26</v>
      </c>
      <c r="D86" s="7" t="s">
        <v>27</v>
      </c>
      <c r="E86" s="7" t="s">
        <v>19</v>
      </c>
      <c r="F86" s="7" t="s">
        <v>20</v>
      </c>
      <c r="G86" s="7" t="s">
        <v>122</v>
      </c>
      <c r="H86" s="14">
        <v>46085.0</v>
      </c>
      <c r="I86" s="14">
        <v>46115.0</v>
      </c>
      <c r="J86" s="8">
        <v>6.0</v>
      </c>
      <c r="K86" s="15">
        <v>2287575.69</v>
      </c>
      <c r="L86" s="15">
        <v>0.0</v>
      </c>
      <c r="M86" s="15">
        <v>0.0</v>
      </c>
    </row>
    <row r="87" ht="13.5" customHeight="1" outlineLevel="3">
      <c r="A87" s="7" t="s">
        <v>121</v>
      </c>
      <c r="B87" s="7" t="s">
        <v>25</v>
      </c>
      <c r="C87" s="7" t="s">
        <v>26</v>
      </c>
      <c r="D87" s="7" t="s">
        <v>27</v>
      </c>
      <c r="E87" s="7" t="s">
        <v>19</v>
      </c>
      <c r="F87" s="7" t="s">
        <v>20</v>
      </c>
      <c r="G87" s="7" t="s">
        <v>123</v>
      </c>
      <c r="H87" s="14">
        <v>46093.0</v>
      </c>
      <c r="I87" s="14">
        <v>46123.0</v>
      </c>
      <c r="J87" s="8">
        <v>14.0</v>
      </c>
      <c r="K87" s="15">
        <v>2869367.7</v>
      </c>
      <c r="L87" s="15">
        <v>0.0</v>
      </c>
      <c r="M87" s="15">
        <v>0.0</v>
      </c>
    </row>
    <row r="88" ht="13.5" customHeight="1" outlineLevel="3">
      <c r="A88" s="7" t="s">
        <v>121</v>
      </c>
      <c r="B88" s="7" t="s">
        <v>25</v>
      </c>
      <c r="C88" s="7" t="s">
        <v>26</v>
      </c>
      <c r="D88" s="7" t="s">
        <v>27</v>
      </c>
      <c r="E88" s="7" t="s">
        <v>19</v>
      </c>
      <c r="F88" s="7" t="s">
        <v>20</v>
      </c>
      <c r="G88" s="7" t="s">
        <v>124</v>
      </c>
      <c r="H88" s="14">
        <v>46105.0</v>
      </c>
      <c r="I88" s="14">
        <v>46135.0</v>
      </c>
      <c r="J88" s="8">
        <v>26.0</v>
      </c>
      <c r="K88" s="15">
        <v>2770381.01</v>
      </c>
      <c r="L88" s="15">
        <v>0.0</v>
      </c>
      <c r="M88" s="15">
        <v>0.0</v>
      </c>
    </row>
    <row r="89" ht="13.5" customHeight="1" outlineLevel="2">
      <c r="A89" s="7"/>
      <c r="B89" s="7"/>
      <c r="C89" s="7"/>
      <c r="D89" s="7"/>
      <c r="E89" s="16" t="s">
        <v>22</v>
      </c>
      <c r="F89" s="7"/>
      <c r="G89" s="7"/>
      <c r="H89" s="14"/>
      <c r="I89" s="14"/>
      <c r="J89" s="8"/>
      <c r="K89" s="15">
        <f t="shared" ref="K89:L89" si="25">SUBTOTAL(9,K86:K88)</f>
        <v>7927324.4</v>
      </c>
      <c r="L89" s="15">
        <f t="shared" si="25"/>
        <v>0</v>
      </c>
      <c r="M89" s="15"/>
    </row>
    <row r="90" ht="13.5" customHeight="1" outlineLevel="1">
      <c r="A90" s="16" t="s">
        <v>125</v>
      </c>
      <c r="B90" s="7"/>
      <c r="C90" s="7"/>
      <c r="D90" s="7"/>
      <c r="E90" s="7"/>
      <c r="F90" s="7"/>
      <c r="G90" s="7"/>
      <c r="H90" s="14"/>
      <c r="I90" s="14"/>
      <c r="J90" s="8"/>
      <c r="K90" s="15">
        <f t="shared" ref="K90:L90" si="26">SUBTOTAL(9,K86:K88)</f>
        <v>7927324.4</v>
      </c>
      <c r="L90" s="15">
        <f t="shared" si="26"/>
        <v>0</v>
      </c>
      <c r="M90" s="15"/>
    </row>
    <row r="91" ht="13.5" customHeight="1" outlineLevel="3">
      <c r="A91" s="7" t="s">
        <v>126</v>
      </c>
      <c r="B91" s="7" t="s">
        <v>65</v>
      </c>
      <c r="C91" s="7" t="s">
        <v>50</v>
      </c>
      <c r="D91" s="7" t="s">
        <v>27</v>
      </c>
      <c r="E91" s="7" t="s">
        <v>19</v>
      </c>
      <c r="F91" s="7" t="s">
        <v>20</v>
      </c>
      <c r="G91" s="7" t="s">
        <v>127</v>
      </c>
      <c r="H91" s="14">
        <v>46055.0</v>
      </c>
      <c r="I91" s="14">
        <v>46113.0</v>
      </c>
      <c r="J91" s="8">
        <v>4.0</v>
      </c>
      <c r="K91" s="15">
        <v>2954789.5</v>
      </c>
      <c r="L91" s="15">
        <v>0.0</v>
      </c>
      <c r="M91" s="15">
        <v>0.0</v>
      </c>
    </row>
    <row r="92" ht="13.5" customHeight="1" outlineLevel="3">
      <c r="A92" s="7" t="s">
        <v>126</v>
      </c>
      <c r="B92" s="7" t="s">
        <v>65</v>
      </c>
      <c r="C92" s="7" t="s">
        <v>26</v>
      </c>
      <c r="D92" s="7" t="s">
        <v>27</v>
      </c>
      <c r="E92" s="7" t="s">
        <v>19</v>
      </c>
      <c r="F92" s="7" t="s">
        <v>20</v>
      </c>
      <c r="G92" s="7" t="s">
        <v>128</v>
      </c>
      <c r="H92" s="14">
        <v>46083.0</v>
      </c>
      <c r="I92" s="14">
        <v>46143.0</v>
      </c>
      <c r="J92" s="8">
        <v>34.0</v>
      </c>
      <c r="K92" s="15">
        <v>5402396.25</v>
      </c>
      <c r="L92" s="15">
        <v>0.0</v>
      </c>
      <c r="M92" s="15">
        <v>0.0</v>
      </c>
    </row>
    <row r="93" ht="13.5" customHeight="1" outlineLevel="2">
      <c r="A93" s="7"/>
      <c r="B93" s="7"/>
      <c r="C93" s="7"/>
      <c r="D93" s="7"/>
      <c r="E93" s="16" t="s">
        <v>22</v>
      </c>
      <c r="F93" s="7"/>
      <c r="G93" s="7"/>
      <c r="H93" s="14"/>
      <c r="I93" s="14"/>
      <c r="J93" s="8"/>
      <c r="K93" s="15">
        <f t="shared" ref="K93:L93" si="27">SUBTOTAL(9,K91:K92)</f>
        <v>8357185.75</v>
      </c>
      <c r="L93" s="15">
        <f t="shared" si="27"/>
        <v>0</v>
      </c>
      <c r="M93" s="15"/>
    </row>
    <row r="94" ht="13.5" customHeight="1" outlineLevel="1">
      <c r="A94" s="16" t="s">
        <v>129</v>
      </c>
      <c r="B94" s="7"/>
      <c r="C94" s="7"/>
      <c r="D94" s="7"/>
      <c r="E94" s="7"/>
      <c r="F94" s="7"/>
      <c r="G94" s="7"/>
      <c r="H94" s="14"/>
      <c r="I94" s="14"/>
      <c r="J94" s="8"/>
      <c r="K94" s="15">
        <f t="shared" ref="K94:L94" si="28">SUBTOTAL(9,K91:K92)</f>
        <v>8357185.75</v>
      </c>
      <c r="L94" s="15">
        <f t="shared" si="28"/>
        <v>0</v>
      </c>
      <c r="M94" s="15"/>
    </row>
    <row r="95" ht="13.5" customHeight="1" outlineLevel="3">
      <c r="A95" s="7" t="s">
        <v>130</v>
      </c>
      <c r="B95" s="7" t="s">
        <v>131</v>
      </c>
      <c r="C95" s="7" t="s">
        <v>42</v>
      </c>
      <c r="D95" s="7" t="s">
        <v>43</v>
      </c>
      <c r="E95" s="7" t="s">
        <v>19</v>
      </c>
      <c r="F95" s="7" t="s">
        <v>20</v>
      </c>
      <c r="G95" s="7" t="s">
        <v>132</v>
      </c>
      <c r="H95" s="14">
        <v>46105.0</v>
      </c>
      <c r="I95" s="14">
        <v>46165.0</v>
      </c>
      <c r="J95" s="8">
        <v>56.0</v>
      </c>
      <c r="K95" s="15">
        <v>7660341.0</v>
      </c>
      <c r="L95" s="15">
        <v>0.0</v>
      </c>
      <c r="M95" s="15">
        <v>0.0</v>
      </c>
    </row>
    <row r="96" ht="13.5" customHeight="1" outlineLevel="2">
      <c r="A96" s="7"/>
      <c r="B96" s="7"/>
      <c r="C96" s="7"/>
      <c r="D96" s="7"/>
      <c r="E96" s="16" t="s">
        <v>22</v>
      </c>
      <c r="F96" s="7"/>
      <c r="G96" s="7"/>
      <c r="H96" s="14"/>
      <c r="I96" s="14"/>
      <c r="J96" s="8"/>
      <c r="K96" s="15">
        <f t="shared" ref="K96:L96" si="29">SUBTOTAL(9,K95)</f>
        <v>7660341</v>
      </c>
      <c r="L96" s="15">
        <f t="shared" si="29"/>
        <v>0</v>
      </c>
      <c r="M96" s="15"/>
    </row>
    <row r="97" ht="13.5" customHeight="1" outlineLevel="1">
      <c r="A97" s="16" t="s">
        <v>133</v>
      </c>
      <c r="B97" s="7"/>
      <c r="C97" s="7"/>
      <c r="D97" s="7"/>
      <c r="E97" s="7"/>
      <c r="F97" s="7"/>
      <c r="G97" s="7"/>
      <c r="H97" s="14"/>
      <c r="I97" s="14"/>
      <c r="J97" s="8"/>
      <c r="K97" s="15">
        <f t="shared" ref="K97:L97" si="30">SUBTOTAL(9,K95)</f>
        <v>7660341</v>
      </c>
      <c r="L97" s="15">
        <f t="shared" si="30"/>
        <v>0</v>
      </c>
      <c r="M97" s="15"/>
    </row>
    <row r="98" ht="13.5" customHeight="1" outlineLevel="3">
      <c r="A98" s="7" t="s">
        <v>134</v>
      </c>
      <c r="B98" s="7" t="s">
        <v>135</v>
      </c>
      <c r="C98" s="7" t="s">
        <v>42</v>
      </c>
      <c r="D98" s="7" t="s">
        <v>43</v>
      </c>
      <c r="E98" s="7" t="s">
        <v>19</v>
      </c>
      <c r="F98" s="7" t="s">
        <v>20</v>
      </c>
      <c r="G98" s="7" t="s">
        <v>136</v>
      </c>
      <c r="H98" s="14">
        <v>46058.0</v>
      </c>
      <c r="I98" s="14">
        <v>46116.0</v>
      </c>
      <c r="J98" s="8">
        <v>7.0</v>
      </c>
      <c r="K98" s="15">
        <v>1.342265235E7</v>
      </c>
      <c r="L98" s="15">
        <v>0.0</v>
      </c>
      <c r="M98" s="15">
        <v>0.0</v>
      </c>
    </row>
    <row r="99" ht="13.5" customHeight="1" outlineLevel="3">
      <c r="A99" s="7" t="s">
        <v>134</v>
      </c>
      <c r="B99" s="7" t="s">
        <v>135</v>
      </c>
      <c r="C99" s="7" t="s">
        <v>42</v>
      </c>
      <c r="D99" s="7" t="s">
        <v>43</v>
      </c>
      <c r="E99" s="7" t="s">
        <v>19</v>
      </c>
      <c r="F99" s="7" t="s">
        <v>20</v>
      </c>
      <c r="G99" s="7" t="s">
        <v>137</v>
      </c>
      <c r="H99" s="14">
        <v>46064.0</v>
      </c>
      <c r="I99" s="14">
        <v>46122.0</v>
      </c>
      <c r="J99" s="8">
        <v>13.0</v>
      </c>
      <c r="K99" s="15">
        <v>1243264.7</v>
      </c>
      <c r="L99" s="15">
        <v>0.0</v>
      </c>
      <c r="M99" s="15">
        <v>0.0</v>
      </c>
    </row>
    <row r="100" ht="13.5" customHeight="1" outlineLevel="3">
      <c r="A100" s="7" t="s">
        <v>134</v>
      </c>
      <c r="B100" s="7" t="s">
        <v>135</v>
      </c>
      <c r="C100" s="7" t="s">
        <v>42</v>
      </c>
      <c r="D100" s="7" t="s">
        <v>43</v>
      </c>
      <c r="E100" s="7" t="s">
        <v>19</v>
      </c>
      <c r="F100" s="7" t="s">
        <v>20</v>
      </c>
      <c r="G100" s="7" t="s">
        <v>138</v>
      </c>
      <c r="H100" s="14">
        <v>46084.0</v>
      </c>
      <c r="I100" s="14">
        <v>46144.0</v>
      </c>
      <c r="J100" s="8">
        <v>35.0</v>
      </c>
      <c r="K100" s="15">
        <v>1.54814287E7</v>
      </c>
      <c r="L100" s="15">
        <v>0.0</v>
      </c>
      <c r="M100" s="15">
        <v>0.0</v>
      </c>
    </row>
    <row r="101" ht="13.5" customHeight="1" outlineLevel="3">
      <c r="A101" s="7" t="s">
        <v>134</v>
      </c>
      <c r="B101" s="7" t="s">
        <v>135</v>
      </c>
      <c r="C101" s="7" t="s">
        <v>42</v>
      </c>
      <c r="D101" s="7" t="s">
        <v>43</v>
      </c>
      <c r="E101" s="7" t="s">
        <v>19</v>
      </c>
      <c r="F101" s="7" t="s">
        <v>20</v>
      </c>
      <c r="G101" s="7" t="s">
        <v>139</v>
      </c>
      <c r="H101" s="14">
        <v>46098.0</v>
      </c>
      <c r="I101" s="14">
        <v>46158.0</v>
      </c>
      <c r="J101" s="8">
        <v>49.0</v>
      </c>
      <c r="K101" s="15">
        <v>1806449.0</v>
      </c>
      <c r="L101" s="15">
        <v>0.0</v>
      </c>
      <c r="M101" s="15">
        <v>0.0</v>
      </c>
    </row>
    <row r="102" ht="13.5" customHeight="1" outlineLevel="3">
      <c r="A102" s="7" t="s">
        <v>134</v>
      </c>
      <c r="B102" s="7" t="s">
        <v>135</v>
      </c>
      <c r="C102" s="7" t="s">
        <v>42</v>
      </c>
      <c r="D102" s="7" t="s">
        <v>43</v>
      </c>
      <c r="E102" s="7" t="s">
        <v>19</v>
      </c>
      <c r="F102" s="7" t="s">
        <v>20</v>
      </c>
      <c r="G102" s="7" t="s">
        <v>140</v>
      </c>
      <c r="H102" s="14">
        <v>46105.0</v>
      </c>
      <c r="I102" s="14">
        <v>46165.0</v>
      </c>
      <c r="J102" s="8">
        <v>56.0</v>
      </c>
      <c r="K102" s="15">
        <v>447273.4</v>
      </c>
      <c r="L102" s="15">
        <v>0.0</v>
      </c>
      <c r="M102" s="15">
        <v>0.0</v>
      </c>
    </row>
    <row r="103" ht="13.5" customHeight="1" outlineLevel="2">
      <c r="A103" s="7"/>
      <c r="B103" s="7"/>
      <c r="C103" s="7"/>
      <c r="D103" s="7"/>
      <c r="E103" s="16" t="s">
        <v>22</v>
      </c>
      <c r="F103" s="7"/>
      <c r="G103" s="7"/>
      <c r="H103" s="14"/>
      <c r="I103" s="14"/>
      <c r="J103" s="8"/>
      <c r="K103" s="15">
        <f t="shared" ref="K103:L103" si="31">SUBTOTAL(9,K98:K102)</f>
        <v>32401068.15</v>
      </c>
      <c r="L103" s="15">
        <f t="shared" si="31"/>
        <v>0</v>
      </c>
      <c r="M103" s="15"/>
    </row>
    <row r="104" ht="13.5" customHeight="1" outlineLevel="1">
      <c r="A104" s="16" t="s">
        <v>141</v>
      </c>
      <c r="B104" s="7"/>
      <c r="C104" s="7"/>
      <c r="D104" s="7"/>
      <c r="E104" s="7"/>
      <c r="F104" s="7"/>
      <c r="G104" s="7"/>
      <c r="H104" s="14"/>
      <c r="I104" s="14"/>
      <c r="J104" s="8"/>
      <c r="K104" s="15">
        <f t="shared" ref="K104:L104" si="32">SUBTOTAL(9,K98:K102)</f>
        <v>32401068.15</v>
      </c>
      <c r="L104" s="15">
        <f t="shared" si="32"/>
        <v>0</v>
      </c>
      <c r="M104" s="15"/>
    </row>
    <row r="105" ht="13.5" customHeight="1" outlineLevel="3">
      <c r="A105" s="7" t="s">
        <v>142</v>
      </c>
      <c r="B105" s="7" t="s">
        <v>25</v>
      </c>
      <c r="C105" s="7" t="s">
        <v>26</v>
      </c>
      <c r="D105" s="7" t="s">
        <v>27</v>
      </c>
      <c r="E105" s="7" t="s">
        <v>19</v>
      </c>
      <c r="F105" s="7" t="s">
        <v>20</v>
      </c>
      <c r="G105" s="7" t="s">
        <v>143</v>
      </c>
      <c r="H105" s="14">
        <v>46090.0</v>
      </c>
      <c r="I105" s="14">
        <v>46121.0</v>
      </c>
      <c r="J105" s="8">
        <v>12.0</v>
      </c>
      <c r="K105" s="15">
        <v>4964629.15</v>
      </c>
      <c r="L105" s="15">
        <v>0.0</v>
      </c>
      <c r="M105" s="15">
        <v>0.0</v>
      </c>
    </row>
    <row r="106" ht="13.5" customHeight="1" outlineLevel="3">
      <c r="A106" s="7" t="s">
        <v>142</v>
      </c>
      <c r="B106" s="7" t="s">
        <v>25</v>
      </c>
      <c r="C106" s="7" t="s">
        <v>26</v>
      </c>
      <c r="D106" s="7" t="s">
        <v>27</v>
      </c>
      <c r="E106" s="7" t="s">
        <v>19</v>
      </c>
      <c r="F106" s="7" t="s">
        <v>20</v>
      </c>
      <c r="G106" s="7" t="s">
        <v>144</v>
      </c>
      <c r="H106" s="14">
        <v>46098.0</v>
      </c>
      <c r="I106" s="14">
        <v>46129.0</v>
      </c>
      <c r="J106" s="8">
        <v>20.0</v>
      </c>
      <c r="K106" s="15">
        <v>4881367.62</v>
      </c>
      <c r="L106" s="15">
        <v>0.0</v>
      </c>
      <c r="M106" s="15">
        <v>0.0</v>
      </c>
    </row>
    <row r="107" ht="13.5" customHeight="1" outlineLevel="2">
      <c r="A107" s="7"/>
      <c r="B107" s="7"/>
      <c r="C107" s="7"/>
      <c r="D107" s="7"/>
      <c r="E107" s="16" t="s">
        <v>22</v>
      </c>
      <c r="F107" s="7"/>
      <c r="G107" s="7"/>
      <c r="H107" s="14"/>
      <c r="I107" s="14"/>
      <c r="J107" s="8"/>
      <c r="K107" s="15">
        <f t="shared" ref="K107:L107" si="33">SUBTOTAL(9,K105:K106)</f>
        <v>9845996.77</v>
      </c>
      <c r="L107" s="15">
        <f t="shared" si="33"/>
        <v>0</v>
      </c>
      <c r="M107" s="15"/>
    </row>
    <row r="108" ht="13.5" customHeight="1" outlineLevel="1">
      <c r="A108" s="16" t="s">
        <v>145</v>
      </c>
      <c r="B108" s="7"/>
      <c r="C108" s="7"/>
      <c r="D108" s="7"/>
      <c r="E108" s="7"/>
      <c r="F108" s="7"/>
      <c r="G108" s="7"/>
      <c r="H108" s="14"/>
      <c r="I108" s="14"/>
      <c r="J108" s="8"/>
      <c r="K108" s="15">
        <f t="shared" ref="K108:L108" si="34">SUBTOTAL(9,K105:K106)</f>
        <v>9845996.77</v>
      </c>
      <c r="L108" s="15">
        <f t="shared" si="34"/>
        <v>0</v>
      </c>
      <c r="M108" s="15"/>
    </row>
    <row r="109" ht="13.5" customHeight="1" outlineLevel="3">
      <c r="A109" s="7" t="s">
        <v>146</v>
      </c>
      <c r="B109" s="7" t="s">
        <v>25</v>
      </c>
      <c r="C109" s="7" t="s">
        <v>86</v>
      </c>
      <c r="D109" s="7" t="s">
        <v>66</v>
      </c>
      <c r="E109" s="7" t="s">
        <v>19</v>
      </c>
      <c r="F109" s="7" t="s">
        <v>20</v>
      </c>
      <c r="G109" s="7" t="s">
        <v>147</v>
      </c>
      <c r="H109" s="14">
        <v>46041.0</v>
      </c>
      <c r="I109" s="14">
        <v>46099.0</v>
      </c>
      <c r="J109" s="8">
        <v>-9.0</v>
      </c>
      <c r="K109" s="15">
        <v>6732783.08</v>
      </c>
      <c r="L109" s="15">
        <v>6732783.08</v>
      </c>
      <c r="M109" s="15">
        <v>6732783.08</v>
      </c>
    </row>
    <row r="110" ht="13.5" customHeight="1" outlineLevel="3">
      <c r="A110" s="7" t="s">
        <v>146</v>
      </c>
      <c r="B110" s="7" t="s">
        <v>25</v>
      </c>
      <c r="C110" s="7" t="s">
        <v>86</v>
      </c>
      <c r="D110" s="7" t="s">
        <v>66</v>
      </c>
      <c r="E110" s="7" t="s">
        <v>19</v>
      </c>
      <c r="F110" s="7" t="s">
        <v>20</v>
      </c>
      <c r="G110" s="7" t="s">
        <v>148</v>
      </c>
      <c r="H110" s="14">
        <v>46041.0</v>
      </c>
      <c r="I110" s="14">
        <v>46099.0</v>
      </c>
      <c r="J110" s="8">
        <v>-9.0</v>
      </c>
      <c r="K110" s="15">
        <v>2.77190894E7</v>
      </c>
      <c r="L110" s="15">
        <v>2.77190894E7</v>
      </c>
      <c r="M110" s="15">
        <v>3.445187248E7</v>
      </c>
    </row>
    <row r="111" ht="13.5" customHeight="1" outlineLevel="3">
      <c r="A111" s="7" t="s">
        <v>146</v>
      </c>
      <c r="B111" s="7" t="s">
        <v>25</v>
      </c>
      <c r="C111" s="7" t="s">
        <v>86</v>
      </c>
      <c r="D111" s="7" t="s">
        <v>66</v>
      </c>
      <c r="E111" s="7" t="s">
        <v>19</v>
      </c>
      <c r="F111" s="7" t="s">
        <v>20</v>
      </c>
      <c r="G111" s="7" t="s">
        <v>149</v>
      </c>
      <c r="H111" s="14">
        <v>46044.0</v>
      </c>
      <c r="I111" s="14">
        <v>46102.0</v>
      </c>
      <c r="J111" s="8">
        <v>-6.0</v>
      </c>
      <c r="K111" s="15">
        <v>6.152031094E7</v>
      </c>
      <c r="L111" s="15">
        <v>6.152031094E7</v>
      </c>
      <c r="M111" s="15">
        <v>9.597218342E7</v>
      </c>
    </row>
    <row r="112" ht="13.5" customHeight="1" outlineLevel="3">
      <c r="A112" s="7" t="s">
        <v>146</v>
      </c>
      <c r="B112" s="7" t="s">
        <v>25</v>
      </c>
      <c r="C112" s="7" t="s">
        <v>86</v>
      </c>
      <c r="D112" s="7" t="s">
        <v>66</v>
      </c>
      <c r="E112" s="7" t="s">
        <v>19</v>
      </c>
      <c r="F112" s="7" t="s">
        <v>20</v>
      </c>
      <c r="G112" s="7" t="s">
        <v>150</v>
      </c>
      <c r="H112" s="14">
        <v>46044.0</v>
      </c>
      <c r="I112" s="14">
        <v>46102.0</v>
      </c>
      <c r="J112" s="8">
        <v>-6.0</v>
      </c>
      <c r="K112" s="15">
        <v>4.646710449E7</v>
      </c>
      <c r="L112" s="15">
        <v>4.646710449E7</v>
      </c>
      <c r="M112" s="15">
        <v>1.4243928791E8</v>
      </c>
    </row>
    <row r="113" ht="13.5" customHeight="1" outlineLevel="3">
      <c r="A113" s="7" t="s">
        <v>146</v>
      </c>
      <c r="B113" s="7" t="s">
        <v>25</v>
      </c>
      <c r="C113" s="7" t="s">
        <v>86</v>
      </c>
      <c r="D113" s="7" t="s">
        <v>66</v>
      </c>
      <c r="E113" s="7" t="s">
        <v>19</v>
      </c>
      <c r="F113" s="7" t="s">
        <v>20</v>
      </c>
      <c r="G113" s="7" t="s">
        <v>151</v>
      </c>
      <c r="H113" s="14">
        <v>46044.0</v>
      </c>
      <c r="I113" s="14">
        <v>46102.0</v>
      </c>
      <c r="J113" s="8">
        <v>-6.0</v>
      </c>
      <c r="K113" s="15">
        <v>8846318.18</v>
      </c>
      <c r="L113" s="15">
        <v>8846318.18</v>
      </c>
      <c r="M113" s="15">
        <v>1.5128560609E8</v>
      </c>
    </row>
    <row r="114" ht="13.5" customHeight="1" outlineLevel="3">
      <c r="A114" s="7" t="s">
        <v>146</v>
      </c>
      <c r="B114" s="7" t="s">
        <v>25</v>
      </c>
      <c r="C114" s="7" t="s">
        <v>86</v>
      </c>
      <c r="D114" s="7" t="s">
        <v>66</v>
      </c>
      <c r="E114" s="7" t="s">
        <v>19</v>
      </c>
      <c r="F114" s="7" t="s">
        <v>20</v>
      </c>
      <c r="G114" s="7" t="s">
        <v>152</v>
      </c>
      <c r="H114" s="14">
        <v>46049.0</v>
      </c>
      <c r="I114" s="14">
        <v>46107.0</v>
      </c>
      <c r="J114" s="8">
        <v>-1.0</v>
      </c>
      <c r="K114" s="15">
        <v>5384065.58</v>
      </c>
      <c r="L114" s="15">
        <v>5384065.58</v>
      </c>
      <c r="M114" s="15">
        <v>1.5666967167E8</v>
      </c>
    </row>
    <row r="115" ht="13.5" customHeight="1" outlineLevel="3">
      <c r="A115" s="7" t="s">
        <v>146</v>
      </c>
      <c r="B115" s="7" t="s">
        <v>25</v>
      </c>
      <c r="C115" s="7" t="s">
        <v>86</v>
      </c>
      <c r="D115" s="7" t="s">
        <v>66</v>
      </c>
      <c r="E115" s="7" t="s">
        <v>19</v>
      </c>
      <c r="F115" s="7" t="s">
        <v>20</v>
      </c>
      <c r="G115" s="7" t="s">
        <v>153</v>
      </c>
      <c r="H115" s="14">
        <v>46049.0</v>
      </c>
      <c r="I115" s="14">
        <v>46107.0</v>
      </c>
      <c r="J115" s="8">
        <v>-1.0</v>
      </c>
      <c r="K115" s="15">
        <v>8037022.41</v>
      </c>
      <c r="L115" s="15">
        <v>8037022.41</v>
      </c>
      <c r="M115" s="15">
        <v>1.6470669408E8</v>
      </c>
    </row>
    <row r="116" ht="13.5" customHeight="1" outlineLevel="3">
      <c r="A116" s="7" t="s">
        <v>146</v>
      </c>
      <c r="B116" s="7" t="s">
        <v>25</v>
      </c>
      <c r="C116" s="7" t="s">
        <v>86</v>
      </c>
      <c r="D116" s="7" t="s">
        <v>66</v>
      </c>
      <c r="E116" s="7" t="s">
        <v>19</v>
      </c>
      <c r="F116" s="7" t="s">
        <v>20</v>
      </c>
      <c r="G116" s="7" t="s">
        <v>154</v>
      </c>
      <c r="H116" s="14">
        <v>46051.0</v>
      </c>
      <c r="I116" s="14">
        <v>46109.0</v>
      </c>
      <c r="J116" s="8">
        <v>1.0</v>
      </c>
      <c r="K116" s="15">
        <v>2826907.92</v>
      </c>
      <c r="L116" s="15">
        <v>0.0</v>
      </c>
      <c r="M116" s="15">
        <v>1.6470669408E8</v>
      </c>
    </row>
    <row r="117" ht="13.5" customHeight="1" outlineLevel="3">
      <c r="A117" s="7" t="s">
        <v>146</v>
      </c>
      <c r="B117" s="7" t="s">
        <v>25</v>
      </c>
      <c r="C117" s="7" t="s">
        <v>86</v>
      </c>
      <c r="D117" s="7" t="s">
        <v>66</v>
      </c>
      <c r="E117" s="7" t="s">
        <v>19</v>
      </c>
      <c r="F117" s="7" t="s">
        <v>20</v>
      </c>
      <c r="G117" s="7" t="s">
        <v>155</v>
      </c>
      <c r="H117" s="14">
        <v>46051.0</v>
      </c>
      <c r="I117" s="14">
        <v>46109.0</v>
      </c>
      <c r="J117" s="8">
        <v>1.0</v>
      </c>
      <c r="K117" s="15">
        <v>1.882376418E7</v>
      </c>
      <c r="L117" s="15">
        <v>0.0</v>
      </c>
      <c r="M117" s="15">
        <v>1.6470669408E8</v>
      </c>
    </row>
    <row r="118" ht="13.5" customHeight="1" outlineLevel="3">
      <c r="A118" s="7" t="s">
        <v>146</v>
      </c>
      <c r="B118" s="7" t="s">
        <v>25</v>
      </c>
      <c r="C118" s="7" t="s">
        <v>86</v>
      </c>
      <c r="D118" s="7" t="s">
        <v>66</v>
      </c>
      <c r="E118" s="7" t="s">
        <v>19</v>
      </c>
      <c r="F118" s="7" t="s">
        <v>20</v>
      </c>
      <c r="G118" s="7" t="s">
        <v>156</v>
      </c>
      <c r="H118" s="14">
        <v>46058.0</v>
      </c>
      <c r="I118" s="14">
        <v>46116.0</v>
      </c>
      <c r="J118" s="8">
        <v>7.0</v>
      </c>
      <c r="K118" s="15">
        <v>8.947253937E7</v>
      </c>
      <c r="L118" s="15">
        <v>0.0</v>
      </c>
      <c r="M118" s="15">
        <v>1.6470669408E8</v>
      </c>
    </row>
    <row r="119" ht="13.5" customHeight="1" outlineLevel="3">
      <c r="A119" s="7" t="s">
        <v>146</v>
      </c>
      <c r="B119" s="7" t="s">
        <v>25</v>
      </c>
      <c r="C119" s="7" t="s">
        <v>86</v>
      </c>
      <c r="D119" s="7" t="s">
        <v>66</v>
      </c>
      <c r="E119" s="7" t="s">
        <v>19</v>
      </c>
      <c r="F119" s="7" t="s">
        <v>20</v>
      </c>
      <c r="G119" s="7" t="s">
        <v>157</v>
      </c>
      <c r="H119" s="14">
        <v>46058.0</v>
      </c>
      <c r="I119" s="14">
        <v>46116.0</v>
      </c>
      <c r="J119" s="8">
        <v>7.0</v>
      </c>
      <c r="K119" s="15">
        <v>1370044.97</v>
      </c>
      <c r="L119" s="15">
        <v>0.0</v>
      </c>
      <c r="M119" s="15">
        <v>1.6470669408E8</v>
      </c>
    </row>
    <row r="120" ht="13.5" customHeight="1" outlineLevel="3">
      <c r="A120" s="7" t="s">
        <v>146</v>
      </c>
      <c r="B120" s="7" t="s">
        <v>25</v>
      </c>
      <c r="C120" s="7" t="s">
        <v>86</v>
      </c>
      <c r="D120" s="7" t="s">
        <v>66</v>
      </c>
      <c r="E120" s="7" t="s">
        <v>19</v>
      </c>
      <c r="F120" s="7" t="s">
        <v>20</v>
      </c>
      <c r="G120" s="7" t="s">
        <v>158</v>
      </c>
      <c r="H120" s="14">
        <v>46058.0</v>
      </c>
      <c r="I120" s="14">
        <v>46116.0</v>
      </c>
      <c r="J120" s="8">
        <v>7.0</v>
      </c>
      <c r="K120" s="15">
        <v>4.309563037E7</v>
      </c>
      <c r="L120" s="15">
        <v>0.0</v>
      </c>
      <c r="M120" s="15">
        <v>1.6470669408E8</v>
      </c>
    </row>
    <row r="121" ht="13.5" customHeight="1" outlineLevel="3">
      <c r="A121" s="7" t="s">
        <v>146</v>
      </c>
      <c r="B121" s="7" t="s">
        <v>25</v>
      </c>
      <c r="C121" s="7" t="s">
        <v>86</v>
      </c>
      <c r="D121" s="7" t="s">
        <v>66</v>
      </c>
      <c r="E121" s="7" t="s">
        <v>19</v>
      </c>
      <c r="F121" s="7" t="s">
        <v>20</v>
      </c>
      <c r="G121" s="7" t="s">
        <v>159</v>
      </c>
      <c r="H121" s="14">
        <v>46064.0</v>
      </c>
      <c r="I121" s="14">
        <v>46122.0</v>
      </c>
      <c r="J121" s="8">
        <v>13.0</v>
      </c>
      <c r="K121" s="15">
        <v>3257193.79</v>
      </c>
      <c r="L121" s="15">
        <v>0.0</v>
      </c>
      <c r="M121" s="15">
        <v>1.6470669408E8</v>
      </c>
    </row>
    <row r="122" ht="13.5" customHeight="1" outlineLevel="3">
      <c r="A122" s="7" t="s">
        <v>146</v>
      </c>
      <c r="B122" s="7" t="s">
        <v>25</v>
      </c>
      <c r="C122" s="7" t="s">
        <v>86</v>
      </c>
      <c r="D122" s="7" t="s">
        <v>66</v>
      </c>
      <c r="E122" s="7" t="s">
        <v>19</v>
      </c>
      <c r="F122" s="7" t="s">
        <v>20</v>
      </c>
      <c r="G122" s="7" t="s">
        <v>160</v>
      </c>
      <c r="H122" s="14">
        <v>46079.0</v>
      </c>
      <c r="I122" s="14">
        <v>46137.0</v>
      </c>
      <c r="J122" s="8">
        <v>28.0</v>
      </c>
      <c r="K122" s="15">
        <v>6618470.11</v>
      </c>
      <c r="L122" s="15">
        <v>0.0</v>
      </c>
      <c r="M122" s="15">
        <v>1.6470669408E8</v>
      </c>
    </row>
    <row r="123" ht="13.5" customHeight="1" outlineLevel="3">
      <c r="A123" s="7" t="s">
        <v>146</v>
      </c>
      <c r="B123" s="7" t="s">
        <v>25</v>
      </c>
      <c r="C123" s="7" t="s">
        <v>86</v>
      </c>
      <c r="D123" s="7" t="s">
        <v>66</v>
      </c>
      <c r="E123" s="7" t="s">
        <v>19</v>
      </c>
      <c r="F123" s="7" t="s">
        <v>20</v>
      </c>
      <c r="G123" s="7" t="s">
        <v>161</v>
      </c>
      <c r="H123" s="14">
        <v>46079.0</v>
      </c>
      <c r="I123" s="14">
        <v>46137.0</v>
      </c>
      <c r="J123" s="8">
        <v>28.0</v>
      </c>
      <c r="K123" s="15">
        <v>1.013889773E7</v>
      </c>
      <c r="L123" s="15">
        <v>0.0</v>
      </c>
      <c r="M123" s="15">
        <v>1.6470669408E8</v>
      </c>
    </row>
    <row r="124" ht="13.5" customHeight="1" outlineLevel="3">
      <c r="A124" s="7" t="s">
        <v>146</v>
      </c>
      <c r="B124" s="7" t="s">
        <v>25</v>
      </c>
      <c r="C124" s="7" t="s">
        <v>86</v>
      </c>
      <c r="D124" s="7" t="s">
        <v>66</v>
      </c>
      <c r="E124" s="7" t="s">
        <v>19</v>
      </c>
      <c r="F124" s="7" t="s">
        <v>20</v>
      </c>
      <c r="G124" s="7" t="s">
        <v>162</v>
      </c>
      <c r="H124" s="14">
        <v>46084.0</v>
      </c>
      <c r="I124" s="14">
        <v>46144.0</v>
      </c>
      <c r="J124" s="8">
        <v>35.0</v>
      </c>
      <c r="K124" s="15">
        <v>4848042.75</v>
      </c>
      <c r="L124" s="15">
        <v>0.0</v>
      </c>
      <c r="M124" s="15">
        <v>1.6470669408E8</v>
      </c>
    </row>
    <row r="125" ht="13.5" customHeight="1" outlineLevel="3">
      <c r="A125" s="7" t="s">
        <v>146</v>
      </c>
      <c r="B125" s="7" t="s">
        <v>25</v>
      </c>
      <c r="C125" s="7" t="s">
        <v>86</v>
      </c>
      <c r="D125" s="7" t="s">
        <v>66</v>
      </c>
      <c r="E125" s="7" t="s">
        <v>19</v>
      </c>
      <c r="F125" s="7" t="s">
        <v>20</v>
      </c>
      <c r="G125" s="7" t="s">
        <v>163</v>
      </c>
      <c r="H125" s="14">
        <v>46084.0</v>
      </c>
      <c r="I125" s="14">
        <v>46144.0</v>
      </c>
      <c r="J125" s="8">
        <v>35.0</v>
      </c>
      <c r="K125" s="15">
        <v>4293139.2</v>
      </c>
      <c r="L125" s="15">
        <v>0.0</v>
      </c>
      <c r="M125" s="15">
        <v>1.6470669408E8</v>
      </c>
    </row>
    <row r="126" ht="13.5" customHeight="1" outlineLevel="3">
      <c r="A126" s="7" t="s">
        <v>146</v>
      </c>
      <c r="B126" s="7" t="s">
        <v>25</v>
      </c>
      <c r="C126" s="7" t="s">
        <v>86</v>
      </c>
      <c r="D126" s="7" t="s">
        <v>66</v>
      </c>
      <c r="E126" s="7" t="s">
        <v>19</v>
      </c>
      <c r="F126" s="7" t="s">
        <v>20</v>
      </c>
      <c r="G126" s="7" t="s">
        <v>164</v>
      </c>
      <c r="H126" s="14">
        <v>46092.0</v>
      </c>
      <c r="I126" s="14">
        <v>46152.0</v>
      </c>
      <c r="J126" s="8">
        <v>43.0</v>
      </c>
      <c r="K126" s="15">
        <v>1.894263977E7</v>
      </c>
      <c r="L126" s="15">
        <v>0.0</v>
      </c>
      <c r="M126" s="15">
        <v>1.6470669408E8</v>
      </c>
    </row>
    <row r="127" ht="13.5" customHeight="1" outlineLevel="3">
      <c r="A127" s="7" t="s">
        <v>146</v>
      </c>
      <c r="B127" s="7" t="s">
        <v>25</v>
      </c>
      <c r="C127" s="7" t="s">
        <v>86</v>
      </c>
      <c r="D127" s="7" t="s">
        <v>66</v>
      </c>
      <c r="E127" s="7" t="s">
        <v>19</v>
      </c>
      <c r="F127" s="7" t="s">
        <v>20</v>
      </c>
      <c r="G127" s="7" t="s">
        <v>165</v>
      </c>
      <c r="H127" s="14">
        <v>46092.0</v>
      </c>
      <c r="I127" s="14">
        <v>46152.0</v>
      </c>
      <c r="J127" s="8">
        <v>43.0</v>
      </c>
      <c r="K127" s="15">
        <v>4.175654117E7</v>
      </c>
      <c r="L127" s="15">
        <v>0.0</v>
      </c>
      <c r="M127" s="15">
        <v>1.6470669408E8</v>
      </c>
    </row>
    <row r="128" ht="13.5" customHeight="1" outlineLevel="3">
      <c r="A128" s="7" t="s">
        <v>146</v>
      </c>
      <c r="B128" s="7" t="s">
        <v>25</v>
      </c>
      <c r="C128" s="7" t="s">
        <v>86</v>
      </c>
      <c r="D128" s="7" t="s">
        <v>66</v>
      </c>
      <c r="E128" s="7" t="s">
        <v>19</v>
      </c>
      <c r="F128" s="7" t="s">
        <v>20</v>
      </c>
      <c r="G128" s="7" t="s">
        <v>166</v>
      </c>
      <c r="H128" s="14">
        <v>46097.0</v>
      </c>
      <c r="I128" s="14">
        <v>46157.0</v>
      </c>
      <c r="J128" s="8">
        <v>48.0</v>
      </c>
      <c r="K128" s="15">
        <v>2.052873929E7</v>
      </c>
      <c r="L128" s="15">
        <v>0.0</v>
      </c>
      <c r="M128" s="15">
        <v>1.6470669408E8</v>
      </c>
    </row>
    <row r="129" ht="13.5" customHeight="1" outlineLevel="3">
      <c r="A129" s="7" t="s">
        <v>146</v>
      </c>
      <c r="B129" s="7" t="s">
        <v>25</v>
      </c>
      <c r="C129" s="7" t="s">
        <v>86</v>
      </c>
      <c r="D129" s="7" t="s">
        <v>66</v>
      </c>
      <c r="E129" s="7" t="s">
        <v>19</v>
      </c>
      <c r="F129" s="7" t="s">
        <v>20</v>
      </c>
      <c r="G129" s="7" t="s">
        <v>167</v>
      </c>
      <c r="H129" s="14">
        <v>46097.0</v>
      </c>
      <c r="I129" s="14">
        <v>46157.0</v>
      </c>
      <c r="J129" s="8">
        <v>48.0</v>
      </c>
      <c r="K129" s="15">
        <v>8385014.64</v>
      </c>
      <c r="L129" s="15">
        <v>0.0</v>
      </c>
      <c r="M129" s="15">
        <v>1.6470669408E8</v>
      </c>
    </row>
    <row r="130" ht="13.5" customHeight="1" outlineLevel="3">
      <c r="A130" s="7" t="s">
        <v>146</v>
      </c>
      <c r="B130" s="7" t="s">
        <v>25</v>
      </c>
      <c r="C130" s="7" t="s">
        <v>86</v>
      </c>
      <c r="D130" s="7" t="s">
        <v>66</v>
      </c>
      <c r="E130" s="7" t="s">
        <v>19</v>
      </c>
      <c r="F130" s="7" t="s">
        <v>20</v>
      </c>
      <c r="G130" s="7" t="s">
        <v>168</v>
      </c>
      <c r="H130" s="14">
        <v>46097.0</v>
      </c>
      <c r="I130" s="14">
        <v>46157.0</v>
      </c>
      <c r="J130" s="8">
        <v>48.0</v>
      </c>
      <c r="K130" s="15">
        <v>1654617.52</v>
      </c>
      <c r="L130" s="15">
        <v>0.0</v>
      </c>
      <c r="M130" s="15">
        <v>1.6470669408E8</v>
      </c>
    </row>
    <row r="131" ht="13.5" customHeight="1" outlineLevel="3">
      <c r="A131" s="7" t="s">
        <v>146</v>
      </c>
      <c r="B131" s="7" t="s">
        <v>25</v>
      </c>
      <c r="C131" s="7" t="s">
        <v>86</v>
      </c>
      <c r="D131" s="7" t="s">
        <v>66</v>
      </c>
      <c r="E131" s="7" t="s">
        <v>19</v>
      </c>
      <c r="F131" s="7" t="s">
        <v>20</v>
      </c>
      <c r="G131" s="7" t="s">
        <v>169</v>
      </c>
      <c r="H131" s="14">
        <v>46100.0</v>
      </c>
      <c r="I131" s="14">
        <v>46160.0</v>
      </c>
      <c r="J131" s="8">
        <v>51.0</v>
      </c>
      <c r="K131" s="15">
        <v>6593079.74</v>
      </c>
      <c r="L131" s="15">
        <v>0.0</v>
      </c>
      <c r="M131" s="15">
        <v>1.6470669408E8</v>
      </c>
    </row>
    <row r="132" ht="13.5" customHeight="1" outlineLevel="2">
      <c r="A132" s="7"/>
      <c r="B132" s="7"/>
      <c r="C132" s="7"/>
      <c r="D132" s="7"/>
      <c r="E132" s="16" t="s">
        <v>22</v>
      </c>
      <c r="F132" s="7"/>
      <c r="G132" s="7"/>
      <c r="H132" s="14"/>
      <c r="I132" s="14"/>
      <c r="J132" s="8"/>
      <c r="K132" s="15">
        <f t="shared" ref="K132:L132" si="35">SUBTOTAL(9,K109:K131)</f>
        <v>447311956.6</v>
      </c>
      <c r="L132" s="15">
        <f t="shared" si="35"/>
        <v>164706694.1</v>
      </c>
      <c r="M132" s="15"/>
    </row>
    <row r="133" ht="13.5" customHeight="1" outlineLevel="1">
      <c r="A133" s="16" t="s">
        <v>170</v>
      </c>
      <c r="B133" s="7"/>
      <c r="C133" s="7"/>
      <c r="D133" s="7"/>
      <c r="E133" s="7"/>
      <c r="F133" s="7"/>
      <c r="G133" s="7"/>
      <c r="H133" s="14"/>
      <c r="I133" s="14"/>
      <c r="J133" s="8"/>
      <c r="K133" s="15">
        <f t="shared" ref="K133:L133" si="36">SUBTOTAL(9,K109:K131)</f>
        <v>447311956.6</v>
      </c>
      <c r="L133" s="15">
        <f t="shared" si="36"/>
        <v>164706694.1</v>
      </c>
      <c r="M133" s="15"/>
    </row>
    <row r="134" ht="13.5" customHeight="1" outlineLevel="3">
      <c r="A134" s="7" t="s">
        <v>171</v>
      </c>
      <c r="B134" s="7" t="s">
        <v>25</v>
      </c>
      <c r="C134" s="7" t="s">
        <v>26</v>
      </c>
      <c r="D134" s="7" t="s">
        <v>27</v>
      </c>
      <c r="E134" s="7" t="s">
        <v>19</v>
      </c>
      <c r="F134" s="7" t="s">
        <v>20</v>
      </c>
      <c r="G134" s="7" t="s">
        <v>172</v>
      </c>
      <c r="H134" s="14">
        <v>46083.0</v>
      </c>
      <c r="I134" s="14">
        <v>46144.0</v>
      </c>
      <c r="J134" s="8">
        <v>35.0</v>
      </c>
      <c r="K134" s="15">
        <v>3552699.0</v>
      </c>
      <c r="L134" s="15">
        <v>0.0</v>
      </c>
      <c r="M134" s="15">
        <v>0.0</v>
      </c>
    </row>
    <row r="135" ht="13.5" customHeight="1" outlineLevel="2">
      <c r="A135" s="7"/>
      <c r="B135" s="7"/>
      <c r="C135" s="7"/>
      <c r="D135" s="7"/>
      <c r="E135" s="16" t="s">
        <v>22</v>
      </c>
      <c r="F135" s="7"/>
      <c r="G135" s="7"/>
      <c r="H135" s="14"/>
      <c r="I135" s="14"/>
      <c r="J135" s="8"/>
      <c r="K135" s="15">
        <f t="shared" ref="K135:L135" si="37">SUBTOTAL(9,K134)</f>
        <v>3552699</v>
      </c>
      <c r="L135" s="15">
        <f t="shared" si="37"/>
        <v>0</v>
      </c>
      <c r="M135" s="15"/>
    </row>
    <row r="136" ht="13.5" customHeight="1" outlineLevel="1">
      <c r="A136" s="16" t="s">
        <v>173</v>
      </c>
      <c r="B136" s="7"/>
      <c r="C136" s="7"/>
      <c r="D136" s="7"/>
      <c r="E136" s="7"/>
      <c r="F136" s="7"/>
      <c r="G136" s="7"/>
      <c r="H136" s="14"/>
      <c r="I136" s="14"/>
      <c r="J136" s="8"/>
      <c r="K136" s="15">
        <f t="shared" ref="K136:L136" si="38">SUBTOTAL(9,K134)</f>
        <v>3552699</v>
      </c>
      <c r="L136" s="15">
        <f t="shared" si="38"/>
        <v>0</v>
      </c>
      <c r="M136" s="15"/>
    </row>
    <row r="137" ht="13.5" customHeight="1" outlineLevel="3">
      <c r="A137" s="7" t="s">
        <v>174</v>
      </c>
      <c r="B137" s="7" t="s">
        <v>25</v>
      </c>
      <c r="C137" s="7" t="s">
        <v>26</v>
      </c>
      <c r="D137" s="7" t="s">
        <v>27</v>
      </c>
      <c r="E137" s="7" t="s">
        <v>19</v>
      </c>
      <c r="F137" s="7" t="s">
        <v>20</v>
      </c>
      <c r="G137" s="7" t="s">
        <v>175</v>
      </c>
      <c r="H137" s="14">
        <v>46090.0</v>
      </c>
      <c r="I137" s="14">
        <v>46150.0</v>
      </c>
      <c r="J137" s="8">
        <v>41.0</v>
      </c>
      <c r="K137" s="15">
        <v>1188059.52</v>
      </c>
      <c r="L137" s="15">
        <v>0.0</v>
      </c>
      <c r="M137" s="15">
        <v>0.0</v>
      </c>
    </row>
    <row r="138" ht="13.5" customHeight="1" outlineLevel="3">
      <c r="A138" s="7" t="s">
        <v>174</v>
      </c>
      <c r="B138" s="7" t="s">
        <v>25</v>
      </c>
      <c r="C138" s="7" t="s">
        <v>26</v>
      </c>
      <c r="D138" s="7" t="s">
        <v>27</v>
      </c>
      <c r="E138" s="7" t="s">
        <v>19</v>
      </c>
      <c r="F138" s="7" t="s">
        <v>20</v>
      </c>
      <c r="G138" s="7" t="s">
        <v>176</v>
      </c>
      <c r="H138" s="14">
        <v>46092.0</v>
      </c>
      <c r="I138" s="14">
        <v>46152.0</v>
      </c>
      <c r="J138" s="8">
        <v>43.0</v>
      </c>
      <c r="K138" s="15">
        <v>607132.05</v>
      </c>
      <c r="L138" s="15">
        <v>0.0</v>
      </c>
      <c r="M138" s="15">
        <v>0.0</v>
      </c>
    </row>
    <row r="139" ht="13.5" customHeight="1" outlineLevel="3">
      <c r="A139" s="7" t="s">
        <v>174</v>
      </c>
      <c r="B139" s="7" t="s">
        <v>25</v>
      </c>
      <c r="C139" s="7" t="s">
        <v>26</v>
      </c>
      <c r="D139" s="7" t="s">
        <v>27</v>
      </c>
      <c r="E139" s="7" t="s">
        <v>19</v>
      </c>
      <c r="F139" s="7" t="s">
        <v>20</v>
      </c>
      <c r="G139" s="7" t="s">
        <v>177</v>
      </c>
      <c r="H139" s="14">
        <v>46093.0</v>
      </c>
      <c r="I139" s="14">
        <v>46153.0</v>
      </c>
      <c r="J139" s="8">
        <v>44.0</v>
      </c>
      <c r="K139" s="15">
        <v>1.493725059E7</v>
      </c>
      <c r="L139" s="15">
        <v>0.0</v>
      </c>
      <c r="M139" s="15">
        <v>0.0</v>
      </c>
    </row>
    <row r="140" ht="13.5" customHeight="1" outlineLevel="3">
      <c r="A140" s="7" t="s">
        <v>174</v>
      </c>
      <c r="B140" s="7" t="s">
        <v>25</v>
      </c>
      <c r="C140" s="7" t="s">
        <v>26</v>
      </c>
      <c r="D140" s="7" t="s">
        <v>27</v>
      </c>
      <c r="E140" s="7" t="s">
        <v>19</v>
      </c>
      <c r="F140" s="7" t="s">
        <v>20</v>
      </c>
      <c r="G140" s="7" t="s">
        <v>178</v>
      </c>
      <c r="H140" s="14">
        <v>46097.0</v>
      </c>
      <c r="I140" s="14">
        <v>46157.0</v>
      </c>
      <c r="J140" s="8">
        <v>48.0</v>
      </c>
      <c r="K140" s="15">
        <v>552612.2</v>
      </c>
      <c r="L140" s="15">
        <v>0.0</v>
      </c>
      <c r="M140" s="15">
        <v>0.0</v>
      </c>
    </row>
    <row r="141" ht="13.5" customHeight="1" outlineLevel="3">
      <c r="A141" s="7" t="s">
        <v>174</v>
      </c>
      <c r="B141" s="7" t="s">
        <v>25</v>
      </c>
      <c r="C141" s="7" t="s">
        <v>26</v>
      </c>
      <c r="D141" s="7" t="s">
        <v>27</v>
      </c>
      <c r="E141" s="7" t="s">
        <v>19</v>
      </c>
      <c r="F141" s="7" t="s">
        <v>20</v>
      </c>
      <c r="G141" s="7" t="s">
        <v>179</v>
      </c>
      <c r="H141" s="14">
        <v>46099.0</v>
      </c>
      <c r="I141" s="14">
        <v>46159.0</v>
      </c>
      <c r="J141" s="8">
        <v>50.0</v>
      </c>
      <c r="K141" s="15">
        <v>3043252.16</v>
      </c>
      <c r="L141" s="15">
        <v>0.0</v>
      </c>
      <c r="M141" s="15">
        <v>0.0</v>
      </c>
    </row>
    <row r="142" ht="13.5" customHeight="1" outlineLevel="3">
      <c r="A142" s="7" t="s">
        <v>174</v>
      </c>
      <c r="B142" s="7" t="s">
        <v>25</v>
      </c>
      <c r="C142" s="7" t="s">
        <v>26</v>
      </c>
      <c r="D142" s="7" t="s">
        <v>27</v>
      </c>
      <c r="E142" s="7" t="s">
        <v>19</v>
      </c>
      <c r="F142" s="7" t="s">
        <v>20</v>
      </c>
      <c r="G142" s="7" t="s">
        <v>180</v>
      </c>
      <c r="H142" s="14">
        <v>46106.0</v>
      </c>
      <c r="I142" s="14">
        <v>46166.0</v>
      </c>
      <c r="J142" s="8">
        <v>57.0</v>
      </c>
      <c r="K142" s="15">
        <v>1227755.74</v>
      </c>
      <c r="L142" s="15">
        <v>0.0</v>
      </c>
      <c r="M142" s="15">
        <v>0.0</v>
      </c>
    </row>
    <row r="143" ht="13.5" customHeight="1" outlineLevel="2">
      <c r="A143" s="7"/>
      <c r="B143" s="7"/>
      <c r="C143" s="7"/>
      <c r="D143" s="7"/>
      <c r="E143" s="16" t="s">
        <v>22</v>
      </c>
      <c r="F143" s="7"/>
      <c r="G143" s="7"/>
      <c r="H143" s="14"/>
      <c r="I143" s="14"/>
      <c r="J143" s="8"/>
      <c r="K143" s="15">
        <f t="shared" ref="K143:L143" si="39">SUBTOTAL(9,K137:K142)</f>
        <v>21556062.26</v>
      </c>
      <c r="L143" s="15">
        <f t="shared" si="39"/>
        <v>0</v>
      </c>
      <c r="M143" s="15"/>
    </row>
    <row r="144" ht="13.5" customHeight="1" outlineLevel="1">
      <c r="A144" s="16" t="s">
        <v>181</v>
      </c>
      <c r="B144" s="7"/>
      <c r="C144" s="7"/>
      <c r="D144" s="7"/>
      <c r="E144" s="7"/>
      <c r="F144" s="7"/>
      <c r="G144" s="7"/>
      <c r="H144" s="14"/>
      <c r="I144" s="14"/>
      <c r="J144" s="8"/>
      <c r="K144" s="15">
        <f t="shared" ref="K144:L144" si="40">SUBTOTAL(9,K137:K142)</f>
        <v>21556062.26</v>
      </c>
      <c r="L144" s="15">
        <f t="shared" si="40"/>
        <v>0</v>
      </c>
      <c r="M144" s="15"/>
    </row>
    <row r="145" ht="13.5" customHeight="1" outlineLevel="3">
      <c r="A145" s="7" t="s">
        <v>182</v>
      </c>
      <c r="B145" s="7" t="s">
        <v>25</v>
      </c>
      <c r="C145" s="7" t="s">
        <v>86</v>
      </c>
      <c r="D145" s="7" t="s">
        <v>66</v>
      </c>
      <c r="E145" s="7" t="s">
        <v>19</v>
      </c>
      <c r="F145" s="7" t="s">
        <v>20</v>
      </c>
      <c r="G145" s="7" t="s">
        <v>183</v>
      </c>
      <c r="H145" s="14">
        <v>45954.0</v>
      </c>
      <c r="I145" s="14">
        <v>46014.0</v>
      </c>
      <c r="J145" s="8">
        <v>-94.0</v>
      </c>
      <c r="K145" s="15">
        <v>6354716.94</v>
      </c>
      <c r="L145" s="15">
        <v>6354716.94</v>
      </c>
      <c r="M145" s="15">
        <v>6354716.94</v>
      </c>
    </row>
    <row r="146" ht="13.5" customHeight="1" outlineLevel="3">
      <c r="A146" s="7" t="s">
        <v>182</v>
      </c>
      <c r="B146" s="7" t="s">
        <v>25</v>
      </c>
      <c r="C146" s="7" t="s">
        <v>86</v>
      </c>
      <c r="D146" s="7" t="s">
        <v>66</v>
      </c>
      <c r="E146" s="7" t="s">
        <v>19</v>
      </c>
      <c r="F146" s="7" t="s">
        <v>20</v>
      </c>
      <c r="G146" s="7" t="s">
        <v>184</v>
      </c>
      <c r="H146" s="14">
        <v>45965.0</v>
      </c>
      <c r="I146" s="14">
        <v>46025.0</v>
      </c>
      <c r="J146" s="8">
        <v>-84.0</v>
      </c>
      <c r="K146" s="15">
        <v>1141432.61</v>
      </c>
      <c r="L146" s="15">
        <v>1141432.61</v>
      </c>
      <c r="M146" s="15">
        <v>7496149.55</v>
      </c>
    </row>
    <row r="147" ht="13.5" customHeight="1" outlineLevel="3">
      <c r="A147" s="7" t="s">
        <v>182</v>
      </c>
      <c r="B147" s="7" t="s">
        <v>25</v>
      </c>
      <c r="C147" s="7" t="s">
        <v>86</v>
      </c>
      <c r="D147" s="7" t="s">
        <v>66</v>
      </c>
      <c r="E147" s="7" t="s">
        <v>19</v>
      </c>
      <c r="F147" s="7" t="s">
        <v>20</v>
      </c>
      <c r="G147" s="7" t="s">
        <v>185</v>
      </c>
      <c r="H147" s="14">
        <v>45994.0</v>
      </c>
      <c r="I147" s="14">
        <v>46055.0</v>
      </c>
      <c r="J147" s="8">
        <v>-55.0</v>
      </c>
      <c r="K147" s="15">
        <v>2400776.85</v>
      </c>
      <c r="L147" s="15">
        <v>2400776.85</v>
      </c>
      <c r="M147" s="15">
        <v>9896926.4</v>
      </c>
    </row>
    <row r="148" ht="13.5" customHeight="1" outlineLevel="3">
      <c r="A148" s="7" t="s">
        <v>182</v>
      </c>
      <c r="B148" s="7" t="s">
        <v>25</v>
      </c>
      <c r="C148" s="7" t="s">
        <v>86</v>
      </c>
      <c r="D148" s="7" t="s">
        <v>66</v>
      </c>
      <c r="E148" s="7" t="s">
        <v>19</v>
      </c>
      <c r="F148" s="7" t="s">
        <v>20</v>
      </c>
      <c r="G148" s="7" t="s">
        <v>186</v>
      </c>
      <c r="H148" s="14">
        <v>46051.0</v>
      </c>
      <c r="I148" s="14">
        <v>46109.0</v>
      </c>
      <c r="J148" s="8">
        <v>1.0</v>
      </c>
      <c r="K148" s="15">
        <v>1078831.43</v>
      </c>
      <c r="L148" s="15">
        <v>0.0</v>
      </c>
      <c r="M148" s="15">
        <v>9896926.4</v>
      </c>
    </row>
    <row r="149" ht="13.5" customHeight="1" outlineLevel="2">
      <c r="A149" s="7"/>
      <c r="B149" s="7"/>
      <c r="C149" s="7"/>
      <c r="D149" s="7"/>
      <c r="E149" s="16" t="s">
        <v>22</v>
      </c>
      <c r="F149" s="7"/>
      <c r="G149" s="7"/>
      <c r="H149" s="14"/>
      <c r="I149" s="14"/>
      <c r="J149" s="8"/>
      <c r="K149" s="15">
        <f t="shared" ref="K149:L149" si="41">SUBTOTAL(9,K145:K148)</f>
        <v>10975757.83</v>
      </c>
      <c r="L149" s="15">
        <f t="shared" si="41"/>
        <v>9896926.4</v>
      </c>
      <c r="M149" s="15"/>
    </row>
    <row r="150" ht="13.5" customHeight="1" outlineLevel="1">
      <c r="A150" s="16" t="s">
        <v>187</v>
      </c>
      <c r="B150" s="7"/>
      <c r="C150" s="7"/>
      <c r="D150" s="7"/>
      <c r="E150" s="7"/>
      <c r="F150" s="7"/>
      <c r="G150" s="7"/>
      <c r="H150" s="14"/>
      <c r="I150" s="14"/>
      <c r="J150" s="8"/>
      <c r="K150" s="15">
        <f t="shared" ref="K150:L150" si="42">SUBTOTAL(9,K145:K148)</f>
        <v>10975757.83</v>
      </c>
      <c r="L150" s="15">
        <f t="shared" si="42"/>
        <v>9896926.4</v>
      </c>
      <c r="M150" s="15"/>
    </row>
    <row r="151" ht="13.5" customHeight="1" outlineLevel="3">
      <c r="A151" s="7" t="s">
        <v>188</v>
      </c>
      <c r="B151" s="7" t="s">
        <v>65</v>
      </c>
      <c r="C151" s="7" t="s">
        <v>73</v>
      </c>
      <c r="D151" s="7" t="s">
        <v>27</v>
      </c>
      <c r="E151" s="7" t="s">
        <v>19</v>
      </c>
      <c r="F151" s="7" t="s">
        <v>20</v>
      </c>
      <c r="G151" s="7" t="s">
        <v>189</v>
      </c>
      <c r="H151" s="14">
        <v>42979.0</v>
      </c>
      <c r="I151" s="14">
        <v>43038.0</v>
      </c>
      <c r="J151" s="8">
        <v>-3027.0</v>
      </c>
      <c r="K151" s="15">
        <v>3955175.0</v>
      </c>
      <c r="L151" s="15">
        <v>3955175.0</v>
      </c>
      <c r="M151" s="15">
        <v>3955175.0</v>
      </c>
    </row>
    <row r="152" ht="13.5" customHeight="1" outlineLevel="3">
      <c r="A152" s="7" t="s">
        <v>188</v>
      </c>
      <c r="B152" s="7" t="s">
        <v>65</v>
      </c>
      <c r="C152" s="7" t="s">
        <v>73</v>
      </c>
      <c r="D152" s="7" t="s">
        <v>27</v>
      </c>
      <c r="E152" s="7" t="s">
        <v>19</v>
      </c>
      <c r="F152" s="7" t="s">
        <v>20</v>
      </c>
      <c r="G152" s="7" t="s">
        <v>190</v>
      </c>
      <c r="H152" s="14">
        <v>42979.0</v>
      </c>
      <c r="I152" s="14">
        <v>43038.0</v>
      </c>
      <c r="J152" s="8">
        <v>-3027.0</v>
      </c>
      <c r="K152" s="15">
        <v>6432838.75</v>
      </c>
      <c r="L152" s="15">
        <v>6432838.75</v>
      </c>
      <c r="M152" s="15">
        <v>1.038801375E7</v>
      </c>
    </row>
    <row r="153" ht="13.5" customHeight="1" outlineLevel="3">
      <c r="A153" s="7" t="s">
        <v>188</v>
      </c>
      <c r="B153" s="7" t="s">
        <v>65</v>
      </c>
      <c r="C153" s="7" t="s">
        <v>73</v>
      </c>
      <c r="D153" s="7" t="s">
        <v>27</v>
      </c>
      <c r="E153" s="7" t="s">
        <v>19</v>
      </c>
      <c r="F153" s="7" t="s">
        <v>20</v>
      </c>
      <c r="G153" s="7" t="s">
        <v>191</v>
      </c>
      <c r="H153" s="14">
        <v>43012.0</v>
      </c>
      <c r="I153" s="14">
        <v>43072.0</v>
      </c>
      <c r="J153" s="8">
        <v>-2994.0</v>
      </c>
      <c r="K153" s="15">
        <v>3646263.6</v>
      </c>
      <c r="L153" s="15">
        <v>3646263.6</v>
      </c>
      <c r="M153" s="15">
        <v>1.403427735E7</v>
      </c>
    </row>
    <row r="154" ht="13.5" customHeight="1" outlineLevel="3">
      <c r="A154" s="7" t="s">
        <v>188</v>
      </c>
      <c r="B154" s="7" t="s">
        <v>65</v>
      </c>
      <c r="C154" s="7" t="s">
        <v>73</v>
      </c>
      <c r="D154" s="7" t="s">
        <v>27</v>
      </c>
      <c r="E154" s="7" t="s">
        <v>19</v>
      </c>
      <c r="F154" s="7" t="s">
        <v>20</v>
      </c>
      <c r="G154" s="7" t="s">
        <v>192</v>
      </c>
      <c r="H154" s="14">
        <v>43034.0</v>
      </c>
      <c r="I154" s="14">
        <v>43094.0</v>
      </c>
      <c r="J154" s="8">
        <v>-2972.0</v>
      </c>
      <c r="K154" s="15">
        <v>1549776.2</v>
      </c>
      <c r="L154" s="15">
        <v>1549776.2</v>
      </c>
      <c r="M154" s="15">
        <v>1.558405355E7</v>
      </c>
    </row>
    <row r="155" ht="13.5" customHeight="1" outlineLevel="3">
      <c r="A155" s="7" t="s">
        <v>188</v>
      </c>
      <c r="B155" s="7" t="s">
        <v>65</v>
      </c>
      <c r="C155" s="7" t="s">
        <v>73</v>
      </c>
      <c r="D155" s="7" t="s">
        <v>27</v>
      </c>
      <c r="E155" s="7" t="s">
        <v>19</v>
      </c>
      <c r="F155" s="7" t="s">
        <v>20</v>
      </c>
      <c r="G155" s="7" t="s">
        <v>193</v>
      </c>
      <c r="H155" s="14">
        <v>43070.0</v>
      </c>
      <c r="I155" s="14">
        <v>43130.0</v>
      </c>
      <c r="J155" s="8">
        <v>-2937.0</v>
      </c>
      <c r="K155" s="15">
        <v>1558397.2</v>
      </c>
      <c r="L155" s="15">
        <v>1558397.2</v>
      </c>
      <c r="M155" s="15">
        <v>1.714245075E7</v>
      </c>
    </row>
    <row r="156" ht="13.5" customHeight="1" outlineLevel="3">
      <c r="A156" s="7" t="s">
        <v>188</v>
      </c>
      <c r="B156" s="7" t="s">
        <v>65</v>
      </c>
      <c r="C156" s="7" t="s">
        <v>73</v>
      </c>
      <c r="D156" s="7" t="s">
        <v>27</v>
      </c>
      <c r="E156" s="7" t="s">
        <v>19</v>
      </c>
      <c r="F156" s="7" t="s">
        <v>20</v>
      </c>
      <c r="G156" s="7" t="s">
        <v>194</v>
      </c>
      <c r="H156" s="14">
        <v>43076.0</v>
      </c>
      <c r="I156" s="14">
        <v>43137.0</v>
      </c>
      <c r="J156" s="8">
        <v>-2931.0</v>
      </c>
      <c r="K156" s="15">
        <v>5785588.05</v>
      </c>
      <c r="L156" s="15">
        <v>5785588.05</v>
      </c>
      <c r="M156" s="15">
        <v>2.29280388E7</v>
      </c>
    </row>
    <row r="157" ht="13.5" customHeight="1" outlineLevel="3">
      <c r="A157" s="7" t="s">
        <v>188</v>
      </c>
      <c r="B157" s="7" t="s">
        <v>65</v>
      </c>
      <c r="C157" s="7" t="s">
        <v>73</v>
      </c>
      <c r="D157" s="7" t="s">
        <v>27</v>
      </c>
      <c r="E157" s="7" t="s">
        <v>19</v>
      </c>
      <c r="F157" s="7" t="s">
        <v>20</v>
      </c>
      <c r="G157" s="7" t="s">
        <v>195</v>
      </c>
      <c r="H157" s="14">
        <v>43088.0</v>
      </c>
      <c r="I157" s="14">
        <v>43149.0</v>
      </c>
      <c r="J157" s="8">
        <v>-2919.0</v>
      </c>
      <c r="K157" s="15">
        <v>4806755.05</v>
      </c>
      <c r="L157" s="15">
        <v>4806755.05</v>
      </c>
      <c r="M157" s="15">
        <v>2.773479385E7</v>
      </c>
    </row>
    <row r="158" ht="13.5" customHeight="1" outlineLevel="3">
      <c r="A158" s="7" t="s">
        <v>188</v>
      </c>
      <c r="B158" s="7" t="s">
        <v>65</v>
      </c>
      <c r="C158" s="7" t="s">
        <v>45</v>
      </c>
      <c r="D158" s="7" t="s">
        <v>27</v>
      </c>
      <c r="E158" s="7" t="s">
        <v>19</v>
      </c>
      <c r="F158" s="7" t="s">
        <v>20</v>
      </c>
      <c r="G158" s="7" t="s">
        <v>196</v>
      </c>
      <c r="H158" s="14">
        <v>44547.0</v>
      </c>
      <c r="I158" s="14">
        <v>44608.0</v>
      </c>
      <c r="J158" s="8">
        <v>-1481.0</v>
      </c>
      <c r="K158" s="15">
        <v>2848210.0</v>
      </c>
      <c r="L158" s="15">
        <v>2848210.0</v>
      </c>
      <c r="M158" s="15">
        <v>3.058300385E7</v>
      </c>
    </row>
    <row r="159" ht="13.5" customHeight="1" outlineLevel="3">
      <c r="A159" s="7" t="s">
        <v>188</v>
      </c>
      <c r="B159" s="7" t="s">
        <v>65</v>
      </c>
      <c r="C159" s="7" t="s">
        <v>197</v>
      </c>
      <c r="D159" s="7" t="s">
        <v>27</v>
      </c>
      <c r="E159" s="7" t="s">
        <v>19</v>
      </c>
      <c r="F159" s="7" t="s">
        <v>20</v>
      </c>
      <c r="G159" s="7" t="s">
        <v>198</v>
      </c>
      <c r="H159" s="14">
        <v>44553.0</v>
      </c>
      <c r="I159" s="14">
        <v>44614.0</v>
      </c>
      <c r="J159" s="8">
        <v>-1475.0</v>
      </c>
      <c r="K159" s="15">
        <v>468860.0</v>
      </c>
      <c r="L159" s="15">
        <v>468860.0</v>
      </c>
      <c r="M159" s="15">
        <v>3.105186385E7</v>
      </c>
    </row>
    <row r="160" ht="13.5" customHeight="1" outlineLevel="2">
      <c r="A160" s="7"/>
      <c r="B160" s="7"/>
      <c r="C160" s="7"/>
      <c r="D160" s="7"/>
      <c r="E160" s="16" t="s">
        <v>22</v>
      </c>
      <c r="F160" s="7"/>
      <c r="G160" s="7"/>
      <c r="H160" s="14"/>
      <c r="I160" s="14"/>
      <c r="J160" s="8"/>
      <c r="K160" s="15">
        <f t="shared" ref="K160:L160" si="43">SUBTOTAL(9,K151:K159)</f>
        <v>31051863.85</v>
      </c>
      <c r="L160" s="15">
        <f t="shared" si="43"/>
        <v>31051863.85</v>
      </c>
      <c r="M160" s="15"/>
    </row>
    <row r="161" ht="13.5" customHeight="1" outlineLevel="1">
      <c r="A161" s="16" t="s">
        <v>199</v>
      </c>
      <c r="B161" s="7"/>
      <c r="C161" s="7"/>
      <c r="D161" s="7"/>
      <c r="E161" s="7"/>
      <c r="F161" s="7"/>
      <c r="G161" s="7"/>
      <c r="H161" s="14"/>
      <c r="I161" s="14"/>
      <c r="J161" s="8"/>
      <c r="K161" s="15">
        <f t="shared" ref="K161:L161" si="44">SUBTOTAL(9,K151:K159)</f>
        <v>31051863.85</v>
      </c>
      <c r="L161" s="15">
        <f t="shared" si="44"/>
        <v>31051863.85</v>
      </c>
      <c r="M161" s="15"/>
    </row>
    <row r="162" ht="13.5" customHeight="1" outlineLevel="3">
      <c r="A162" s="7" t="s">
        <v>200</v>
      </c>
      <c r="B162" s="7" t="s">
        <v>131</v>
      </c>
      <c r="C162" s="7" t="s">
        <v>42</v>
      </c>
      <c r="D162" s="7" t="s">
        <v>43</v>
      </c>
      <c r="E162" s="7" t="s">
        <v>19</v>
      </c>
      <c r="F162" s="7" t="s">
        <v>20</v>
      </c>
      <c r="G162" s="7" t="s">
        <v>201</v>
      </c>
      <c r="H162" s="14">
        <v>46069.0</v>
      </c>
      <c r="I162" s="14">
        <v>46113.0</v>
      </c>
      <c r="J162" s="8">
        <v>4.0</v>
      </c>
      <c r="K162" s="15">
        <v>480986.1</v>
      </c>
      <c r="L162" s="15">
        <v>0.0</v>
      </c>
      <c r="M162" s="15">
        <v>0.0</v>
      </c>
    </row>
    <row r="163" ht="13.5" customHeight="1" outlineLevel="2">
      <c r="A163" s="7"/>
      <c r="B163" s="7"/>
      <c r="C163" s="7"/>
      <c r="D163" s="7"/>
      <c r="E163" s="16" t="s">
        <v>22</v>
      </c>
      <c r="F163" s="7"/>
      <c r="G163" s="7"/>
      <c r="H163" s="14"/>
      <c r="I163" s="14"/>
      <c r="J163" s="8"/>
      <c r="K163" s="15">
        <f t="shared" ref="K163:L163" si="45">SUBTOTAL(9,K162)</f>
        <v>480986.1</v>
      </c>
      <c r="L163" s="15">
        <f t="shared" si="45"/>
        <v>0</v>
      </c>
      <c r="M163" s="15"/>
    </row>
    <row r="164" ht="13.5" customHeight="1" outlineLevel="1">
      <c r="A164" s="16" t="s">
        <v>202</v>
      </c>
      <c r="B164" s="7"/>
      <c r="C164" s="7"/>
      <c r="D164" s="7"/>
      <c r="E164" s="7"/>
      <c r="F164" s="7"/>
      <c r="G164" s="7"/>
      <c r="H164" s="14"/>
      <c r="I164" s="14"/>
      <c r="J164" s="8"/>
      <c r="K164" s="15">
        <f t="shared" ref="K164:L164" si="46">SUBTOTAL(9,K162)</f>
        <v>480986.1</v>
      </c>
      <c r="L164" s="15">
        <f t="shared" si="46"/>
        <v>0</v>
      </c>
      <c r="M164" s="15"/>
    </row>
    <row r="165" ht="13.5" customHeight="1" outlineLevel="3">
      <c r="A165" s="7" t="s">
        <v>203</v>
      </c>
      <c r="B165" s="7" t="s">
        <v>204</v>
      </c>
      <c r="C165" s="7" t="s">
        <v>45</v>
      </c>
      <c r="D165" s="7" t="s">
        <v>66</v>
      </c>
      <c r="E165" s="7" t="s">
        <v>19</v>
      </c>
      <c r="F165" s="7" t="s">
        <v>20</v>
      </c>
      <c r="G165" s="7" t="s">
        <v>205</v>
      </c>
      <c r="H165" s="14">
        <v>45992.0</v>
      </c>
      <c r="I165" s="14">
        <v>45992.0</v>
      </c>
      <c r="J165" s="8">
        <v>-116.0</v>
      </c>
      <c r="K165" s="15">
        <v>-32542.62</v>
      </c>
      <c r="L165" s="15">
        <v>-32542.62</v>
      </c>
      <c r="M165" s="15">
        <v>-32542.62</v>
      </c>
    </row>
    <row r="166" ht="13.5" customHeight="1" outlineLevel="3">
      <c r="A166" s="7" t="s">
        <v>203</v>
      </c>
      <c r="B166" s="7" t="s">
        <v>204</v>
      </c>
      <c r="C166" s="7" t="s">
        <v>86</v>
      </c>
      <c r="D166" s="7" t="s">
        <v>66</v>
      </c>
      <c r="E166" s="7" t="s">
        <v>19</v>
      </c>
      <c r="F166" s="7" t="s">
        <v>20</v>
      </c>
      <c r="G166" s="7" t="s">
        <v>206</v>
      </c>
      <c r="H166" s="14">
        <v>46043.0</v>
      </c>
      <c r="I166" s="14">
        <v>46101.0</v>
      </c>
      <c r="J166" s="8">
        <v>-7.0</v>
      </c>
      <c r="K166" s="15">
        <v>1153839.3</v>
      </c>
      <c r="L166" s="15">
        <v>1153839.3</v>
      </c>
      <c r="M166" s="15">
        <v>1121296.68</v>
      </c>
    </row>
    <row r="167" ht="13.5" customHeight="1" outlineLevel="3">
      <c r="A167" s="7" t="s">
        <v>203</v>
      </c>
      <c r="B167" s="7" t="s">
        <v>204</v>
      </c>
      <c r="C167" s="7" t="s">
        <v>86</v>
      </c>
      <c r="D167" s="7" t="s">
        <v>66</v>
      </c>
      <c r="E167" s="7" t="s">
        <v>19</v>
      </c>
      <c r="F167" s="7" t="s">
        <v>20</v>
      </c>
      <c r="G167" s="7" t="s">
        <v>207</v>
      </c>
      <c r="H167" s="14">
        <v>46055.0</v>
      </c>
      <c r="I167" s="14">
        <v>46113.0</v>
      </c>
      <c r="J167" s="8">
        <v>4.0</v>
      </c>
      <c r="K167" s="15">
        <v>4497215.71</v>
      </c>
      <c r="L167" s="15">
        <v>0.0</v>
      </c>
      <c r="M167" s="15">
        <v>1121296.68</v>
      </c>
    </row>
    <row r="168" ht="13.5" customHeight="1" outlineLevel="3">
      <c r="A168" s="7" t="s">
        <v>203</v>
      </c>
      <c r="B168" s="7" t="s">
        <v>204</v>
      </c>
      <c r="C168" s="7" t="s">
        <v>86</v>
      </c>
      <c r="D168" s="7" t="s">
        <v>66</v>
      </c>
      <c r="E168" s="7" t="s">
        <v>19</v>
      </c>
      <c r="F168" s="7" t="s">
        <v>20</v>
      </c>
      <c r="G168" s="7" t="s">
        <v>208</v>
      </c>
      <c r="H168" s="14">
        <v>46055.0</v>
      </c>
      <c r="I168" s="14">
        <v>46113.0</v>
      </c>
      <c r="J168" s="8">
        <v>4.0</v>
      </c>
      <c r="K168" s="15">
        <v>873388.85</v>
      </c>
      <c r="L168" s="15">
        <v>0.0</v>
      </c>
      <c r="M168" s="15">
        <v>1121296.68</v>
      </c>
    </row>
    <row r="169" ht="13.5" customHeight="1" outlineLevel="3">
      <c r="A169" s="7" t="s">
        <v>203</v>
      </c>
      <c r="B169" s="7" t="s">
        <v>204</v>
      </c>
      <c r="C169" s="7" t="s">
        <v>86</v>
      </c>
      <c r="D169" s="7" t="s">
        <v>66</v>
      </c>
      <c r="E169" s="7" t="s">
        <v>19</v>
      </c>
      <c r="F169" s="7" t="s">
        <v>20</v>
      </c>
      <c r="G169" s="7" t="s">
        <v>209</v>
      </c>
      <c r="H169" s="14">
        <v>46085.0</v>
      </c>
      <c r="I169" s="14">
        <v>46145.0</v>
      </c>
      <c r="J169" s="8">
        <v>36.0</v>
      </c>
      <c r="K169" s="15">
        <v>2352366.83</v>
      </c>
      <c r="L169" s="15">
        <v>0.0</v>
      </c>
      <c r="M169" s="15">
        <v>1121296.68</v>
      </c>
    </row>
    <row r="170" ht="13.5" customHeight="1" outlineLevel="3">
      <c r="A170" s="7" t="s">
        <v>203</v>
      </c>
      <c r="B170" s="7" t="s">
        <v>204</v>
      </c>
      <c r="C170" s="7" t="s">
        <v>86</v>
      </c>
      <c r="D170" s="7" t="s">
        <v>66</v>
      </c>
      <c r="E170" s="7" t="s">
        <v>19</v>
      </c>
      <c r="F170" s="7" t="s">
        <v>20</v>
      </c>
      <c r="G170" s="7" t="s">
        <v>210</v>
      </c>
      <c r="H170" s="14">
        <v>46105.0</v>
      </c>
      <c r="I170" s="14">
        <v>46165.0</v>
      </c>
      <c r="J170" s="8">
        <v>56.0</v>
      </c>
      <c r="K170" s="15">
        <v>626909.8</v>
      </c>
      <c r="L170" s="15">
        <v>0.0</v>
      </c>
      <c r="M170" s="15">
        <v>1121296.68</v>
      </c>
    </row>
    <row r="171" ht="13.5" customHeight="1" outlineLevel="2">
      <c r="A171" s="7"/>
      <c r="B171" s="7"/>
      <c r="C171" s="7"/>
      <c r="D171" s="7"/>
      <c r="E171" s="16" t="s">
        <v>22</v>
      </c>
      <c r="F171" s="7"/>
      <c r="G171" s="7"/>
      <c r="H171" s="14"/>
      <c r="I171" s="14"/>
      <c r="J171" s="8"/>
      <c r="K171" s="15">
        <f t="shared" ref="K171:L171" si="47">SUBTOTAL(9,K165:K170)</f>
        <v>9471177.87</v>
      </c>
      <c r="L171" s="15">
        <f t="shared" si="47"/>
        <v>1121296.68</v>
      </c>
      <c r="M171" s="15"/>
    </row>
    <row r="172" ht="13.5" customHeight="1" outlineLevel="1">
      <c r="A172" s="16" t="s">
        <v>211</v>
      </c>
      <c r="B172" s="7"/>
      <c r="C172" s="7"/>
      <c r="D172" s="7"/>
      <c r="E172" s="7"/>
      <c r="F172" s="7"/>
      <c r="G172" s="7"/>
      <c r="H172" s="14"/>
      <c r="I172" s="14"/>
      <c r="J172" s="8"/>
      <c r="K172" s="15">
        <f t="shared" ref="K172:L172" si="48">SUBTOTAL(9,K165:K170)</f>
        <v>9471177.87</v>
      </c>
      <c r="L172" s="15">
        <f t="shared" si="48"/>
        <v>1121296.68</v>
      </c>
      <c r="M172" s="15"/>
    </row>
    <row r="173" ht="13.5" customHeight="1" outlineLevel="3">
      <c r="A173" s="7" t="s">
        <v>212</v>
      </c>
      <c r="B173" s="7" t="s">
        <v>25</v>
      </c>
      <c r="C173" s="7" t="s">
        <v>118</v>
      </c>
      <c r="D173" s="7" t="s">
        <v>213</v>
      </c>
      <c r="E173" s="7" t="s">
        <v>19</v>
      </c>
      <c r="F173" s="7" t="s">
        <v>20</v>
      </c>
      <c r="G173" s="7" t="s">
        <v>214</v>
      </c>
      <c r="H173" s="14">
        <v>46077.0</v>
      </c>
      <c r="I173" s="14">
        <v>46105.0</v>
      </c>
      <c r="J173" s="8">
        <v>-3.0</v>
      </c>
      <c r="K173" s="15">
        <v>1249157.27</v>
      </c>
      <c r="L173" s="15">
        <v>1249157.27</v>
      </c>
      <c r="M173" s="15">
        <v>1249157.27</v>
      </c>
    </row>
    <row r="174" ht="13.5" customHeight="1" outlineLevel="2">
      <c r="A174" s="7"/>
      <c r="B174" s="7"/>
      <c r="C174" s="7"/>
      <c r="D174" s="7"/>
      <c r="E174" s="16" t="s">
        <v>22</v>
      </c>
      <c r="F174" s="7"/>
      <c r="G174" s="7"/>
      <c r="H174" s="14"/>
      <c r="I174" s="14"/>
      <c r="J174" s="8"/>
      <c r="K174" s="15">
        <f t="shared" ref="K174:L174" si="49">SUBTOTAL(9,K173)</f>
        <v>1249157.27</v>
      </c>
      <c r="L174" s="15">
        <f t="shared" si="49"/>
        <v>1249157.27</v>
      </c>
      <c r="M174" s="15"/>
    </row>
    <row r="175" ht="13.5" customHeight="1" outlineLevel="1">
      <c r="A175" s="16" t="s">
        <v>215</v>
      </c>
      <c r="B175" s="7"/>
      <c r="C175" s="7"/>
      <c r="D175" s="7"/>
      <c r="E175" s="7"/>
      <c r="F175" s="7"/>
      <c r="G175" s="7"/>
      <c r="H175" s="14"/>
      <c r="I175" s="14"/>
      <c r="J175" s="8"/>
      <c r="K175" s="15">
        <f t="shared" ref="K175:L175" si="50">SUBTOTAL(9,K173)</f>
        <v>1249157.27</v>
      </c>
      <c r="L175" s="15">
        <f t="shared" si="50"/>
        <v>1249157.27</v>
      </c>
      <c r="M175" s="15"/>
    </row>
    <row r="176" ht="13.5" customHeight="1" outlineLevel="3">
      <c r="A176" s="7" t="s">
        <v>216</v>
      </c>
      <c r="B176" s="7" t="s">
        <v>217</v>
      </c>
      <c r="C176" s="7" t="s">
        <v>45</v>
      </c>
      <c r="D176" s="7" t="s">
        <v>43</v>
      </c>
      <c r="E176" s="7" t="s">
        <v>19</v>
      </c>
      <c r="F176" s="7" t="s">
        <v>20</v>
      </c>
      <c r="G176" s="7" t="s">
        <v>218</v>
      </c>
      <c r="H176" s="14">
        <v>46086.0</v>
      </c>
      <c r="I176" s="14">
        <v>46086.0</v>
      </c>
      <c r="J176" s="8">
        <v>-22.0</v>
      </c>
      <c r="K176" s="15">
        <v>-406105.4</v>
      </c>
      <c r="L176" s="15">
        <v>-406105.4</v>
      </c>
      <c r="M176" s="15">
        <v>-406105.4</v>
      </c>
    </row>
    <row r="177" ht="13.5" customHeight="1" outlineLevel="3">
      <c r="A177" s="7" t="s">
        <v>216</v>
      </c>
      <c r="B177" s="7" t="s">
        <v>217</v>
      </c>
      <c r="C177" s="7" t="s">
        <v>42</v>
      </c>
      <c r="D177" s="7" t="s">
        <v>43</v>
      </c>
      <c r="E177" s="7" t="s">
        <v>19</v>
      </c>
      <c r="F177" s="7" t="s">
        <v>20</v>
      </c>
      <c r="G177" s="7" t="s">
        <v>219</v>
      </c>
      <c r="H177" s="14">
        <v>46108.0</v>
      </c>
      <c r="I177" s="14">
        <v>46108.0</v>
      </c>
      <c r="J177" s="8">
        <v>0.0</v>
      </c>
      <c r="K177" s="15">
        <v>1.274252E8</v>
      </c>
      <c r="L177" s="15">
        <v>0.0</v>
      </c>
      <c r="M177" s="15">
        <v>-406105.4</v>
      </c>
    </row>
    <row r="178" ht="13.5" customHeight="1" outlineLevel="2">
      <c r="A178" s="7"/>
      <c r="B178" s="7"/>
      <c r="C178" s="7"/>
      <c r="D178" s="7"/>
      <c r="E178" s="16" t="s">
        <v>22</v>
      </c>
      <c r="F178" s="7"/>
      <c r="G178" s="7"/>
      <c r="H178" s="14"/>
      <c r="I178" s="14"/>
      <c r="J178" s="8"/>
      <c r="K178" s="15">
        <f t="shared" ref="K178:L178" si="51">SUBTOTAL(9,K176:K177)</f>
        <v>127019094.6</v>
      </c>
      <c r="L178" s="15">
        <f t="shared" si="51"/>
        <v>-406105.4</v>
      </c>
      <c r="M178" s="15"/>
    </row>
    <row r="179" ht="13.5" customHeight="1" outlineLevel="1">
      <c r="A179" s="16" t="s">
        <v>220</v>
      </c>
      <c r="B179" s="7"/>
      <c r="C179" s="7"/>
      <c r="D179" s="7"/>
      <c r="E179" s="7"/>
      <c r="F179" s="7"/>
      <c r="G179" s="7"/>
      <c r="H179" s="14"/>
      <c r="I179" s="14"/>
      <c r="J179" s="8"/>
      <c r="K179" s="15">
        <f t="shared" ref="K179:L179" si="52">SUBTOTAL(9,K176:K177)</f>
        <v>127019094.6</v>
      </c>
      <c r="L179" s="15">
        <f t="shared" si="52"/>
        <v>-406105.4</v>
      </c>
      <c r="M179" s="15"/>
    </row>
    <row r="180" ht="13.5" customHeight="1" outlineLevel="3">
      <c r="A180" s="7" t="s">
        <v>221</v>
      </c>
      <c r="B180" s="7" t="s">
        <v>222</v>
      </c>
      <c r="C180" s="7" t="s">
        <v>26</v>
      </c>
      <c r="D180" s="7" t="s">
        <v>27</v>
      </c>
      <c r="E180" s="7" t="s">
        <v>19</v>
      </c>
      <c r="F180" s="7" t="s">
        <v>20</v>
      </c>
      <c r="G180" s="7" t="s">
        <v>223</v>
      </c>
      <c r="H180" s="14">
        <v>46084.0</v>
      </c>
      <c r="I180" s="14">
        <v>46144.0</v>
      </c>
      <c r="J180" s="8">
        <v>35.0</v>
      </c>
      <c r="K180" s="15">
        <v>1525713.12</v>
      </c>
      <c r="L180" s="15">
        <v>0.0</v>
      </c>
      <c r="M180" s="15">
        <v>0.0</v>
      </c>
    </row>
    <row r="181" ht="13.5" customHeight="1" outlineLevel="3">
      <c r="A181" s="7" t="s">
        <v>221</v>
      </c>
      <c r="B181" s="7" t="s">
        <v>222</v>
      </c>
      <c r="C181" s="7" t="s">
        <v>86</v>
      </c>
      <c r="D181" s="7" t="s">
        <v>27</v>
      </c>
      <c r="E181" s="7" t="s">
        <v>19</v>
      </c>
      <c r="F181" s="7" t="s">
        <v>20</v>
      </c>
      <c r="G181" s="7" t="s">
        <v>224</v>
      </c>
      <c r="H181" s="14">
        <v>46100.0</v>
      </c>
      <c r="I181" s="14">
        <v>46160.0</v>
      </c>
      <c r="J181" s="8">
        <v>51.0</v>
      </c>
      <c r="K181" s="15">
        <v>612707.2</v>
      </c>
      <c r="L181" s="15">
        <v>0.0</v>
      </c>
      <c r="M181" s="15">
        <v>0.0</v>
      </c>
    </row>
    <row r="182" ht="13.5" customHeight="1" outlineLevel="3">
      <c r="A182" s="7" t="s">
        <v>221</v>
      </c>
      <c r="B182" s="7" t="s">
        <v>222</v>
      </c>
      <c r="C182" s="7" t="s">
        <v>26</v>
      </c>
      <c r="D182" s="7" t="s">
        <v>27</v>
      </c>
      <c r="E182" s="7" t="s">
        <v>19</v>
      </c>
      <c r="F182" s="7" t="s">
        <v>20</v>
      </c>
      <c r="G182" s="7" t="s">
        <v>225</v>
      </c>
      <c r="H182" s="14">
        <v>46108.0</v>
      </c>
      <c r="I182" s="14">
        <v>46168.0</v>
      </c>
      <c r="J182" s="8">
        <v>59.0</v>
      </c>
      <c r="K182" s="15">
        <v>612124.1</v>
      </c>
      <c r="L182" s="15">
        <v>0.0</v>
      </c>
      <c r="M182" s="15">
        <v>0.0</v>
      </c>
    </row>
    <row r="183" ht="13.5" customHeight="1" outlineLevel="2">
      <c r="A183" s="7"/>
      <c r="B183" s="7"/>
      <c r="C183" s="7"/>
      <c r="D183" s="7"/>
      <c r="E183" s="16" t="s">
        <v>22</v>
      </c>
      <c r="F183" s="7"/>
      <c r="G183" s="7"/>
      <c r="H183" s="14"/>
      <c r="I183" s="14"/>
      <c r="J183" s="8"/>
      <c r="K183" s="15">
        <f t="shared" ref="K183:L183" si="53">SUBTOTAL(9,K180:K182)</f>
        <v>2750544.42</v>
      </c>
      <c r="L183" s="15">
        <f t="shared" si="53"/>
        <v>0</v>
      </c>
      <c r="M183" s="15"/>
    </row>
    <row r="184" ht="13.5" customHeight="1" outlineLevel="1">
      <c r="A184" s="16" t="s">
        <v>226</v>
      </c>
      <c r="B184" s="7"/>
      <c r="C184" s="7"/>
      <c r="D184" s="7"/>
      <c r="E184" s="7"/>
      <c r="F184" s="7"/>
      <c r="G184" s="7"/>
      <c r="H184" s="14"/>
      <c r="I184" s="14"/>
      <c r="J184" s="8"/>
      <c r="K184" s="15">
        <f t="shared" ref="K184:L184" si="54">SUBTOTAL(9,K180:K182)</f>
        <v>2750544.42</v>
      </c>
      <c r="L184" s="15">
        <f t="shared" si="54"/>
        <v>0</v>
      </c>
      <c r="M184" s="15"/>
    </row>
    <row r="185" ht="13.5" customHeight="1" outlineLevel="3">
      <c r="A185" s="7" t="s">
        <v>227</v>
      </c>
      <c r="B185" s="7" t="s">
        <v>228</v>
      </c>
      <c r="C185" s="7" t="s">
        <v>229</v>
      </c>
      <c r="D185" s="7" t="s">
        <v>213</v>
      </c>
      <c r="E185" s="7" t="s">
        <v>19</v>
      </c>
      <c r="F185" s="7" t="s">
        <v>20</v>
      </c>
      <c r="G185" s="7" t="s">
        <v>230</v>
      </c>
      <c r="H185" s="14">
        <v>43892.0</v>
      </c>
      <c r="I185" s="14">
        <v>43952.0</v>
      </c>
      <c r="J185" s="8">
        <v>-2126.0</v>
      </c>
      <c r="K185" s="15">
        <v>3217500.0</v>
      </c>
      <c r="L185" s="15">
        <v>3217500.0</v>
      </c>
      <c r="M185" s="15">
        <v>3217500.0</v>
      </c>
    </row>
    <row r="186" ht="13.5" customHeight="1" outlineLevel="2">
      <c r="A186" s="7"/>
      <c r="B186" s="7"/>
      <c r="C186" s="7"/>
      <c r="D186" s="7"/>
      <c r="E186" s="16" t="s">
        <v>22</v>
      </c>
      <c r="F186" s="7"/>
      <c r="G186" s="7"/>
      <c r="H186" s="14"/>
      <c r="I186" s="14"/>
      <c r="J186" s="8"/>
      <c r="K186" s="15">
        <f t="shared" ref="K186:L186" si="55">SUBTOTAL(9,K185)</f>
        <v>3217500</v>
      </c>
      <c r="L186" s="15">
        <f t="shared" si="55"/>
        <v>3217500</v>
      </c>
      <c r="M186" s="15"/>
    </row>
    <row r="187" ht="13.5" customHeight="1" outlineLevel="1">
      <c r="A187" s="16" t="s">
        <v>231</v>
      </c>
      <c r="B187" s="7"/>
      <c r="C187" s="7"/>
      <c r="D187" s="7"/>
      <c r="E187" s="7"/>
      <c r="F187" s="7"/>
      <c r="G187" s="7"/>
      <c r="H187" s="14"/>
      <c r="I187" s="14"/>
      <c r="J187" s="8"/>
      <c r="K187" s="15">
        <f t="shared" ref="K187:L187" si="56">SUBTOTAL(9,K185)</f>
        <v>3217500</v>
      </c>
      <c r="L187" s="15">
        <f t="shared" si="56"/>
        <v>3217500</v>
      </c>
      <c r="M187" s="15"/>
    </row>
    <row r="188" ht="13.5" customHeight="1" outlineLevel="3">
      <c r="A188" s="7" t="s">
        <v>232</v>
      </c>
      <c r="B188" s="7" t="s">
        <v>25</v>
      </c>
      <c r="C188" s="7" t="s">
        <v>45</v>
      </c>
      <c r="D188" s="7" t="s">
        <v>43</v>
      </c>
      <c r="E188" s="7" t="s">
        <v>19</v>
      </c>
      <c r="F188" s="7" t="s">
        <v>20</v>
      </c>
      <c r="G188" s="7" t="s">
        <v>233</v>
      </c>
      <c r="H188" s="14">
        <v>45167.0</v>
      </c>
      <c r="I188" s="14">
        <v>45198.0</v>
      </c>
      <c r="J188" s="8">
        <v>-898.0</v>
      </c>
      <c r="K188" s="15">
        <v>7.009452557E7</v>
      </c>
      <c r="L188" s="15">
        <v>7.009452557E7</v>
      </c>
      <c r="M188" s="15">
        <v>7.009452557E7</v>
      </c>
    </row>
    <row r="189" ht="13.5" customHeight="1" outlineLevel="3">
      <c r="A189" s="7" t="s">
        <v>232</v>
      </c>
      <c r="B189" s="7" t="s">
        <v>25</v>
      </c>
      <c r="C189" s="7" t="s">
        <v>45</v>
      </c>
      <c r="D189" s="7" t="s">
        <v>43</v>
      </c>
      <c r="E189" s="7" t="s">
        <v>19</v>
      </c>
      <c r="F189" s="7" t="s">
        <v>20</v>
      </c>
      <c r="G189" s="7" t="s">
        <v>234</v>
      </c>
      <c r="H189" s="14">
        <v>45336.0</v>
      </c>
      <c r="I189" s="14">
        <v>45336.0</v>
      </c>
      <c r="J189" s="8">
        <v>-763.0</v>
      </c>
      <c r="K189" s="15">
        <v>-1755847.34</v>
      </c>
      <c r="L189" s="15">
        <v>-1755847.34</v>
      </c>
      <c r="M189" s="15">
        <v>6.833867823E7</v>
      </c>
    </row>
    <row r="190" ht="13.5" customHeight="1" outlineLevel="2">
      <c r="A190" s="7"/>
      <c r="B190" s="7"/>
      <c r="C190" s="7"/>
      <c r="D190" s="7"/>
      <c r="E190" s="16" t="s">
        <v>22</v>
      </c>
      <c r="F190" s="7"/>
      <c r="G190" s="7"/>
      <c r="H190" s="14"/>
      <c r="I190" s="14"/>
      <c r="J190" s="8"/>
      <c r="K190" s="15">
        <f t="shared" ref="K190:L190" si="57">SUBTOTAL(9,K188:K189)</f>
        <v>68338678.23</v>
      </c>
      <c r="L190" s="15">
        <f t="shared" si="57"/>
        <v>68338678.23</v>
      </c>
      <c r="M190" s="15"/>
    </row>
    <row r="191" ht="13.5" customHeight="1" outlineLevel="1">
      <c r="A191" s="16" t="s">
        <v>235</v>
      </c>
      <c r="B191" s="7"/>
      <c r="C191" s="7"/>
      <c r="D191" s="7"/>
      <c r="E191" s="7"/>
      <c r="F191" s="7"/>
      <c r="G191" s="7"/>
      <c r="H191" s="14"/>
      <c r="I191" s="14"/>
      <c r="J191" s="8"/>
      <c r="K191" s="15">
        <f t="shared" ref="K191:L191" si="58">SUBTOTAL(9,K188:K189)</f>
        <v>68338678.23</v>
      </c>
      <c r="L191" s="15">
        <f t="shared" si="58"/>
        <v>68338678.23</v>
      </c>
      <c r="M191" s="15"/>
    </row>
    <row r="192" ht="13.5" customHeight="1" outlineLevel="3">
      <c r="A192" s="7" t="s">
        <v>236</v>
      </c>
      <c r="B192" s="7" t="s">
        <v>237</v>
      </c>
      <c r="C192" s="7" t="s">
        <v>238</v>
      </c>
      <c r="D192" s="7" t="s">
        <v>239</v>
      </c>
      <c r="E192" s="7" t="s">
        <v>19</v>
      </c>
      <c r="F192" s="7" t="s">
        <v>20</v>
      </c>
      <c r="G192" s="7" t="s">
        <v>240</v>
      </c>
      <c r="H192" s="14">
        <v>45971.0</v>
      </c>
      <c r="I192" s="14">
        <v>45971.0</v>
      </c>
      <c r="J192" s="8">
        <v>-137.0</v>
      </c>
      <c r="K192" s="15">
        <v>119794.57</v>
      </c>
      <c r="L192" s="15">
        <v>119794.57</v>
      </c>
      <c r="M192" s="15">
        <v>119794.57</v>
      </c>
    </row>
    <row r="193" ht="13.5" customHeight="1" outlineLevel="2">
      <c r="A193" s="7"/>
      <c r="B193" s="7"/>
      <c r="C193" s="7"/>
      <c r="D193" s="7"/>
      <c r="E193" s="16" t="s">
        <v>22</v>
      </c>
      <c r="F193" s="7"/>
      <c r="G193" s="7"/>
      <c r="H193" s="14"/>
      <c r="I193" s="14"/>
      <c r="J193" s="8"/>
      <c r="K193" s="15">
        <f t="shared" ref="K193:L193" si="59">SUBTOTAL(9,K192)</f>
        <v>119794.57</v>
      </c>
      <c r="L193" s="15">
        <f t="shared" si="59"/>
        <v>119794.57</v>
      </c>
      <c r="M193" s="15"/>
    </row>
    <row r="194" ht="13.5" customHeight="1" outlineLevel="1">
      <c r="A194" s="16" t="s">
        <v>241</v>
      </c>
      <c r="B194" s="7"/>
      <c r="C194" s="7"/>
      <c r="D194" s="7"/>
      <c r="E194" s="7"/>
      <c r="F194" s="7"/>
      <c r="G194" s="7"/>
      <c r="H194" s="14"/>
      <c r="I194" s="14"/>
      <c r="J194" s="8"/>
      <c r="K194" s="15">
        <f t="shared" ref="K194:L194" si="60">SUBTOTAL(9,K192)</f>
        <v>119794.57</v>
      </c>
      <c r="L194" s="15">
        <f t="shared" si="60"/>
        <v>119794.57</v>
      </c>
      <c r="M194" s="15"/>
    </row>
    <row r="195" ht="13.5" customHeight="1" outlineLevel="3">
      <c r="A195" s="7" t="s">
        <v>242</v>
      </c>
      <c r="B195" s="7" t="s">
        <v>243</v>
      </c>
      <c r="C195" s="7" t="s">
        <v>42</v>
      </c>
      <c r="D195" s="7" t="s">
        <v>43</v>
      </c>
      <c r="E195" s="7" t="s">
        <v>19</v>
      </c>
      <c r="F195" s="7" t="s">
        <v>20</v>
      </c>
      <c r="G195" s="7" t="s">
        <v>244</v>
      </c>
      <c r="H195" s="14">
        <v>45975.0</v>
      </c>
      <c r="I195" s="14">
        <v>46067.0</v>
      </c>
      <c r="J195" s="8">
        <v>-43.0</v>
      </c>
      <c r="K195" s="15">
        <v>2402263.5</v>
      </c>
      <c r="L195" s="15">
        <v>2402263.5</v>
      </c>
      <c r="M195" s="15">
        <v>2402263.5</v>
      </c>
    </row>
    <row r="196" ht="13.5" customHeight="1" outlineLevel="3">
      <c r="A196" s="7" t="s">
        <v>242</v>
      </c>
      <c r="B196" s="7" t="s">
        <v>243</v>
      </c>
      <c r="C196" s="7" t="s">
        <v>42</v>
      </c>
      <c r="D196" s="7" t="s">
        <v>43</v>
      </c>
      <c r="E196" s="7" t="s">
        <v>19</v>
      </c>
      <c r="F196" s="7" t="s">
        <v>20</v>
      </c>
      <c r="G196" s="7" t="s">
        <v>245</v>
      </c>
      <c r="H196" s="14">
        <v>45994.0</v>
      </c>
      <c r="I196" s="14">
        <v>46084.0</v>
      </c>
      <c r="J196" s="8">
        <v>-24.0</v>
      </c>
      <c r="K196" s="15">
        <v>6401289.37</v>
      </c>
      <c r="L196" s="15">
        <v>6401289.37</v>
      </c>
      <c r="M196" s="15">
        <v>8803552.87</v>
      </c>
    </row>
    <row r="197" ht="13.5" customHeight="1" outlineLevel="3">
      <c r="A197" s="7" t="s">
        <v>242</v>
      </c>
      <c r="B197" s="7" t="s">
        <v>243</v>
      </c>
      <c r="C197" s="7" t="s">
        <v>42</v>
      </c>
      <c r="D197" s="7" t="s">
        <v>43</v>
      </c>
      <c r="E197" s="7" t="s">
        <v>19</v>
      </c>
      <c r="F197" s="7" t="s">
        <v>20</v>
      </c>
      <c r="G197" s="7" t="s">
        <v>246</v>
      </c>
      <c r="H197" s="14">
        <v>46007.0</v>
      </c>
      <c r="I197" s="14">
        <v>46097.0</v>
      </c>
      <c r="J197" s="8">
        <v>-11.0</v>
      </c>
      <c r="K197" s="15">
        <v>1146424.5</v>
      </c>
      <c r="L197" s="15">
        <v>1146424.5</v>
      </c>
      <c r="M197" s="15">
        <v>9949977.37</v>
      </c>
    </row>
    <row r="198" ht="13.5" customHeight="1" outlineLevel="3">
      <c r="A198" s="7" t="s">
        <v>242</v>
      </c>
      <c r="B198" s="7" t="s">
        <v>243</v>
      </c>
      <c r="C198" s="7" t="s">
        <v>42</v>
      </c>
      <c r="D198" s="7" t="s">
        <v>43</v>
      </c>
      <c r="E198" s="7" t="s">
        <v>19</v>
      </c>
      <c r="F198" s="7" t="s">
        <v>20</v>
      </c>
      <c r="G198" s="7" t="s">
        <v>247</v>
      </c>
      <c r="H198" s="14">
        <v>46036.0</v>
      </c>
      <c r="I198" s="14">
        <v>46126.0</v>
      </c>
      <c r="J198" s="8">
        <v>17.0</v>
      </c>
      <c r="K198" s="15">
        <v>4.49972835E7</v>
      </c>
      <c r="L198" s="15">
        <v>0.0</v>
      </c>
      <c r="M198" s="15">
        <v>9949977.37</v>
      </c>
    </row>
    <row r="199" ht="13.5" customHeight="1" outlineLevel="3">
      <c r="A199" s="7" t="s">
        <v>242</v>
      </c>
      <c r="B199" s="7" t="s">
        <v>243</v>
      </c>
      <c r="C199" s="7" t="s">
        <v>42</v>
      </c>
      <c r="D199" s="7" t="s">
        <v>43</v>
      </c>
      <c r="E199" s="7" t="s">
        <v>19</v>
      </c>
      <c r="F199" s="7" t="s">
        <v>20</v>
      </c>
      <c r="G199" s="7" t="s">
        <v>248</v>
      </c>
      <c r="H199" s="14">
        <v>46042.0</v>
      </c>
      <c r="I199" s="14">
        <v>46132.0</v>
      </c>
      <c r="J199" s="8">
        <v>23.0</v>
      </c>
      <c r="K199" s="15">
        <v>905496.15</v>
      </c>
      <c r="L199" s="15">
        <v>0.0</v>
      </c>
      <c r="M199" s="15">
        <v>9949977.37</v>
      </c>
    </row>
    <row r="200" ht="13.5" customHeight="1" outlineLevel="3">
      <c r="A200" s="7" t="s">
        <v>242</v>
      </c>
      <c r="B200" s="7" t="s">
        <v>243</v>
      </c>
      <c r="C200" s="7" t="s">
        <v>42</v>
      </c>
      <c r="D200" s="7" t="s">
        <v>43</v>
      </c>
      <c r="E200" s="7" t="s">
        <v>19</v>
      </c>
      <c r="F200" s="7" t="s">
        <v>20</v>
      </c>
      <c r="G200" s="7" t="s">
        <v>249</v>
      </c>
      <c r="H200" s="14">
        <v>46042.0</v>
      </c>
      <c r="I200" s="14">
        <v>46132.0</v>
      </c>
      <c r="J200" s="8">
        <v>23.0</v>
      </c>
      <c r="K200" s="15">
        <v>2.3085543E7</v>
      </c>
      <c r="L200" s="15">
        <v>0.0</v>
      </c>
      <c r="M200" s="15">
        <v>9949977.37</v>
      </c>
    </row>
    <row r="201" ht="13.5" customHeight="1" outlineLevel="3">
      <c r="A201" s="7" t="s">
        <v>242</v>
      </c>
      <c r="B201" s="7" t="s">
        <v>243</v>
      </c>
      <c r="C201" s="7" t="s">
        <v>42</v>
      </c>
      <c r="D201" s="7" t="s">
        <v>43</v>
      </c>
      <c r="E201" s="7" t="s">
        <v>19</v>
      </c>
      <c r="F201" s="7" t="s">
        <v>20</v>
      </c>
      <c r="G201" s="7" t="s">
        <v>250</v>
      </c>
      <c r="H201" s="14">
        <v>46055.0</v>
      </c>
      <c r="I201" s="14">
        <v>46144.0</v>
      </c>
      <c r="J201" s="8">
        <v>35.0</v>
      </c>
      <c r="K201" s="15">
        <v>1185268.5</v>
      </c>
      <c r="L201" s="15">
        <v>0.0</v>
      </c>
      <c r="M201" s="15">
        <v>9949977.37</v>
      </c>
    </row>
    <row r="202" ht="13.5" customHeight="1" outlineLevel="3">
      <c r="A202" s="7" t="s">
        <v>242</v>
      </c>
      <c r="B202" s="7" t="s">
        <v>243</v>
      </c>
      <c r="C202" s="7" t="s">
        <v>42</v>
      </c>
      <c r="D202" s="7" t="s">
        <v>43</v>
      </c>
      <c r="E202" s="7" t="s">
        <v>19</v>
      </c>
      <c r="F202" s="7" t="s">
        <v>20</v>
      </c>
      <c r="G202" s="7" t="s">
        <v>251</v>
      </c>
      <c r="H202" s="14">
        <v>46055.0</v>
      </c>
      <c r="I202" s="14">
        <v>46144.0</v>
      </c>
      <c r="J202" s="8">
        <v>35.0</v>
      </c>
      <c r="K202" s="15">
        <v>8435739.0</v>
      </c>
      <c r="L202" s="15">
        <v>0.0</v>
      </c>
      <c r="M202" s="15">
        <v>9949977.37</v>
      </c>
    </row>
    <row r="203" ht="13.5" customHeight="1" outlineLevel="3">
      <c r="A203" s="7" t="s">
        <v>242</v>
      </c>
      <c r="B203" s="7" t="s">
        <v>243</v>
      </c>
      <c r="C203" s="7" t="s">
        <v>42</v>
      </c>
      <c r="D203" s="7" t="s">
        <v>43</v>
      </c>
      <c r="E203" s="7" t="s">
        <v>19</v>
      </c>
      <c r="F203" s="7" t="s">
        <v>20</v>
      </c>
      <c r="G203" s="7" t="s">
        <v>252</v>
      </c>
      <c r="H203" s="14">
        <v>46055.0</v>
      </c>
      <c r="I203" s="14">
        <v>46144.0</v>
      </c>
      <c r="J203" s="8">
        <v>35.0</v>
      </c>
      <c r="K203" s="15">
        <v>640053.37</v>
      </c>
      <c r="L203" s="15">
        <v>0.0</v>
      </c>
      <c r="M203" s="15">
        <v>9949977.37</v>
      </c>
    </row>
    <row r="204" ht="13.5" customHeight="1" outlineLevel="3">
      <c r="A204" s="7" t="s">
        <v>242</v>
      </c>
      <c r="B204" s="7" t="s">
        <v>243</v>
      </c>
      <c r="C204" s="7" t="s">
        <v>42</v>
      </c>
      <c r="D204" s="7" t="s">
        <v>43</v>
      </c>
      <c r="E204" s="7" t="s">
        <v>19</v>
      </c>
      <c r="F204" s="7" t="s">
        <v>20</v>
      </c>
      <c r="G204" s="7" t="s">
        <v>253</v>
      </c>
      <c r="H204" s="14">
        <v>46063.0</v>
      </c>
      <c r="I204" s="14">
        <v>46152.0</v>
      </c>
      <c r="J204" s="8">
        <v>43.0</v>
      </c>
      <c r="K204" s="15">
        <v>5.28741135E7</v>
      </c>
      <c r="L204" s="15">
        <v>0.0</v>
      </c>
      <c r="M204" s="15">
        <v>9949977.37</v>
      </c>
    </row>
    <row r="205" ht="13.5" customHeight="1" outlineLevel="3">
      <c r="A205" s="7" t="s">
        <v>242</v>
      </c>
      <c r="B205" s="7" t="s">
        <v>243</v>
      </c>
      <c r="C205" s="7" t="s">
        <v>42</v>
      </c>
      <c r="D205" s="7" t="s">
        <v>43</v>
      </c>
      <c r="E205" s="7" t="s">
        <v>19</v>
      </c>
      <c r="F205" s="7" t="s">
        <v>20</v>
      </c>
      <c r="G205" s="7" t="s">
        <v>254</v>
      </c>
      <c r="H205" s="14">
        <v>46063.0</v>
      </c>
      <c r="I205" s="14">
        <v>46152.0</v>
      </c>
      <c r="J205" s="8">
        <v>43.0</v>
      </c>
      <c r="K205" s="15">
        <v>1.004094E7</v>
      </c>
      <c r="L205" s="15">
        <v>0.0</v>
      </c>
      <c r="M205" s="15">
        <v>9949977.37</v>
      </c>
    </row>
    <row r="206" ht="13.5" customHeight="1" outlineLevel="3">
      <c r="A206" s="7" t="s">
        <v>242</v>
      </c>
      <c r="B206" s="7" t="s">
        <v>243</v>
      </c>
      <c r="C206" s="7" t="s">
        <v>42</v>
      </c>
      <c r="D206" s="7" t="s">
        <v>43</v>
      </c>
      <c r="E206" s="7" t="s">
        <v>19</v>
      </c>
      <c r="F206" s="7" t="s">
        <v>20</v>
      </c>
      <c r="G206" s="7" t="s">
        <v>255</v>
      </c>
      <c r="H206" s="14">
        <v>46069.0</v>
      </c>
      <c r="I206" s="14">
        <v>46158.0</v>
      </c>
      <c r="J206" s="8">
        <v>49.0</v>
      </c>
      <c r="K206" s="15">
        <v>7.43364765E7</v>
      </c>
      <c r="L206" s="15">
        <v>0.0</v>
      </c>
      <c r="M206" s="15">
        <v>9949977.37</v>
      </c>
    </row>
    <row r="207" ht="13.5" customHeight="1" outlineLevel="3">
      <c r="A207" s="7" t="s">
        <v>242</v>
      </c>
      <c r="B207" s="7" t="s">
        <v>243</v>
      </c>
      <c r="C207" s="7" t="s">
        <v>42</v>
      </c>
      <c r="D207" s="7" t="s">
        <v>43</v>
      </c>
      <c r="E207" s="7" t="s">
        <v>19</v>
      </c>
      <c r="F207" s="7" t="s">
        <v>20</v>
      </c>
      <c r="G207" s="7" t="s">
        <v>256</v>
      </c>
      <c r="H207" s="14">
        <v>46072.0</v>
      </c>
      <c r="I207" s="14">
        <v>46161.0</v>
      </c>
      <c r="J207" s="8">
        <v>52.0</v>
      </c>
      <c r="K207" s="15">
        <v>412235.0</v>
      </c>
      <c r="L207" s="15">
        <v>0.0</v>
      </c>
      <c r="M207" s="15">
        <v>9949977.37</v>
      </c>
    </row>
    <row r="208" ht="13.5" customHeight="1" outlineLevel="3">
      <c r="A208" s="7" t="s">
        <v>242</v>
      </c>
      <c r="B208" s="7" t="s">
        <v>243</v>
      </c>
      <c r="C208" s="7" t="s">
        <v>42</v>
      </c>
      <c r="D208" s="7" t="s">
        <v>43</v>
      </c>
      <c r="E208" s="7" t="s">
        <v>19</v>
      </c>
      <c r="F208" s="7" t="s">
        <v>20</v>
      </c>
      <c r="G208" s="7" t="s">
        <v>257</v>
      </c>
      <c r="H208" s="14">
        <v>46072.0</v>
      </c>
      <c r="I208" s="14">
        <v>46161.0</v>
      </c>
      <c r="J208" s="8">
        <v>52.0</v>
      </c>
      <c r="K208" s="15">
        <v>226024.0</v>
      </c>
      <c r="L208" s="15">
        <v>0.0</v>
      </c>
      <c r="M208" s="15">
        <v>9949977.37</v>
      </c>
    </row>
    <row r="209" ht="13.5" customHeight="1" outlineLevel="3">
      <c r="A209" s="7" t="s">
        <v>242</v>
      </c>
      <c r="B209" s="7" t="s">
        <v>243</v>
      </c>
      <c r="C209" s="7" t="s">
        <v>42</v>
      </c>
      <c r="D209" s="7" t="s">
        <v>43</v>
      </c>
      <c r="E209" s="7" t="s">
        <v>19</v>
      </c>
      <c r="F209" s="7" t="s">
        <v>20</v>
      </c>
      <c r="G209" s="7" t="s">
        <v>258</v>
      </c>
      <c r="H209" s="14">
        <v>46072.0</v>
      </c>
      <c r="I209" s="14">
        <v>46161.0</v>
      </c>
      <c r="J209" s="8">
        <v>52.0</v>
      </c>
      <c r="K209" s="15">
        <v>2.353615875E7</v>
      </c>
      <c r="L209" s="15">
        <v>0.0</v>
      </c>
      <c r="M209" s="15">
        <v>9949977.37</v>
      </c>
    </row>
    <row r="210" ht="13.5" customHeight="1" outlineLevel="3">
      <c r="A210" s="7" t="s">
        <v>242</v>
      </c>
      <c r="B210" s="7" t="s">
        <v>243</v>
      </c>
      <c r="C210" s="7" t="s">
        <v>42</v>
      </c>
      <c r="D210" s="7" t="s">
        <v>43</v>
      </c>
      <c r="E210" s="7" t="s">
        <v>19</v>
      </c>
      <c r="F210" s="7" t="s">
        <v>20</v>
      </c>
      <c r="G210" s="7" t="s">
        <v>259</v>
      </c>
      <c r="H210" s="14">
        <v>46072.0</v>
      </c>
      <c r="I210" s="14">
        <v>46161.0</v>
      </c>
      <c r="J210" s="8">
        <v>52.0</v>
      </c>
      <c r="K210" s="15">
        <v>5.7299463E7</v>
      </c>
      <c r="L210" s="15">
        <v>0.0</v>
      </c>
      <c r="M210" s="15">
        <v>9949977.37</v>
      </c>
    </row>
    <row r="211" ht="13.5" customHeight="1" outlineLevel="3">
      <c r="A211" s="7" t="s">
        <v>242</v>
      </c>
      <c r="B211" s="7" t="s">
        <v>243</v>
      </c>
      <c r="C211" s="7" t="s">
        <v>42</v>
      </c>
      <c r="D211" s="7" t="s">
        <v>43</v>
      </c>
      <c r="E211" s="7" t="s">
        <v>19</v>
      </c>
      <c r="F211" s="7" t="s">
        <v>20</v>
      </c>
      <c r="G211" s="7" t="s">
        <v>260</v>
      </c>
      <c r="H211" s="14">
        <v>46091.0</v>
      </c>
      <c r="I211" s="14">
        <v>46183.0</v>
      </c>
      <c r="J211" s="8">
        <v>73.0</v>
      </c>
      <c r="K211" s="15">
        <v>5882101.87</v>
      </c>
      <c r="L211" s="15">
        <v>0.0</v>
      </c>
      <c r="M211" s="15">
        <v>9949977.37</v>
      </c>
    </row>
    <row r="212" ht="13.5" customHeight="1" outlineLevel="2">
      <c r="A212" s="7"/>
      <c r="B212" s="7"/>
      <c r="C212" s="7"/>
      <c r="D212" s="7"/>
      <c r="E212" s="16" t="s">
        <v>22</v>
      </c>
      <c r="F212" s="7"/>
      <c r="G212" s="7"/>
      <c r="H212" s="14"/>
      <c r="I212" s="14"/>
      <c r="J212" s="8"/>
      <c r="K212" s="15">
        <f t="shared" ref="K212:L212" si="61">SUBTOTAL(9,K195:K211)</f>
        <v>313806873.5</v>
      </c>
      <c r="L212" s="15">
        <f t="shared" si="61"/>
        <v>9949977.37</v>
      </c>
      <c r="M212" s="15"/>
    </row>
    <row r="213" ht="13.5" customHeight="1" outlineLevel="1">
      <c r="A213" s="16" t="s">
        <v>261</v>
      </c>
      <c r="B213" s="7"/>
      <c r="C213" s="7"/>
      <c r="D213" s="7"/>
      <c r="E213" s="7"/>
      <c r="F213" s="7"/>
      <c r="G213" s="7"/>
      <c r="H213" s="14"/>
      <c r="I213" s="14"/>
      <c r="J213" s="8"/>
      <c r="K213" s="15">
        <f t="shared" ref="K213:L213" si="62">SUBTOTAL(9,K195:K211)</f>
        <v>313806873.5</v>
      </c>
      <c r="L213" s="15">
        <f t="shared" si="62"/>
        <v>9949977.37</v>
      </c>
      <c r="M213" s="15"/>
    </row>
    <row r="214" ht="13.5" customHeight="1" outlineLevel="3">
      <c r="A214" s="7" t="s">
        <v>262</v>
      </c>
      <c r="B214" s="7" t="s">
        <v>131</v>
      </c>
      <c r="C214" s="7" t="s">
        <v>42</v>
      </c>
      <c r="D214" s="7" t="s">
        <v>43</v>
      </c>
      <c r="E214" s="7" t="s">
        <v>19</v>
      </c>
      <c r="F214" s="7" t="s">
        <v>20</v>
      </c>
      <c r="G214" s="7" t="s">
        <v>263</v>
      </c>
      <c r="H214" s="14">
        <v>46085.0</v>
      </c>
      <c r="I214" s="14">
        <v>46116.0</v>
      </c>
      <c r="J214" s="8">
        <v>7.0</v>
      </c>
      <c r="K214" s="15">
        <v>1291891.8</v>
      </c>
      <c r="L214" s="15">
        <v>0.0</v>
      </c>
      <c r="M214" s="15">
        <v>0.0</v>
      </c>
    </row>
    <row r="215" ht="13.5" customHeight="1" outlineLevel="2">
      <c r="A215" s="7"/>
      <c r="B215" s="7"/>
      <c r="C215" s="7"/>
      <c r="D215" s="7"/>
      <c r="E215" s="16" t="s">
        <v>22</v>
      </c>
      <c r="F215" s="7"/>
      <c r="G215" s="7"/>
      <c r="H215" s="14"/>
      <c r="I215" s="14"/>
      <c r="J215" s="8"/>
      <c r="K215" s="15">
        <f t="shared" ref="K215:L215" si="63">SUBTOTAL(9,K214)</f>
        <v>1291891.8</v>
      </c>
      <c r="L215" s="15">
        <f t="shared" si="63"/>
        <v>0</v>
      </c>
      <c r="M215" s="15"/>
    </row>
    <row r="216" ht="13.5" customHeight="1" outlineLevel="1">
      <c r="A216" s="16" t="s">
        <v>264</v>
      </c>
      <c r="B216" s="7"/>
      <c r="C216" s="7"/>
      <c r="D216" s="7"/>
      <c r="E216" s="7"/>
      <c r="F216" s="7"/>
      <c r="G216" s="7"/>
      <c r="H216" s="14"/>
      <c r="I216" s="14"/>
      <c r="J216" s="8"/>
      <c r="K216" s="15">
        <f t="shared" ref="K216:L216" si="64">SUBTOTAL(9,K214)</f>
        <v>1291891.8</v>
      </c>
      <c r="L216" s="15">
        <f t="shared" si="64"/>
        <v>0</v>
      </c>
      <c r="M216" s="15"/>
    </row>
    <row r="217" ht="13.5" customHeight="1" outlineLevel="3">
      <c r="A217" s="7" t="s">
        <v>265</v>
      </c>
      <c r="B217" s="7" t="s">
        <v>25</v>
      </c>
      <c r="C217" s="7" t="s">
        <v>45</v>
      </c>
      <c r="D217" s="7" t="s">
        <v>27</v>
      </c>
      <c r="E217" s="7" t="s">
        <v>19</v>
      </c>
      <c r="F217" s="7" t="s">
        <v>20</v>
      </c>
      <c r="G217" s="7" t="s">
        <v>266</v>
      </c>
      <c r="H217" s="14">
        <v>44781.0</v>
      </c>
      <c r="I217" s="14">
        <v>44841.0</v>
      </c>
      <c r="J217" s="8">
        <v>-1250.0</v>
      </c>
      <c r="K217" s="15">
        <v>0.0</v>
      </c>
      <c r="L217" s="15">
        <v>0.0</v>
      </c>
      <c r="M217" s="15">
        <v>0.0</v>
      </c>
    </row>
    <row r="218" ht="13.5" customHeight="1" outlineLevel="3">
      <c r="A218" s="7" t="s">
        <v>265</v>
      </c>
      <c r="B218" s="7" t="s">
        <v>25</v>
      </c>
      <c r="C218" s="7" t="s">
        <v>45</v>
      </c>
      <c r="D218" s="7" t="s">
        <v>27</v>
      </c>
      <c r="E218" s="7" t="s">
        <v>19</v>
      </c>
      <c r="F218" s="7" t="s">
        <v>20</v>
      </c>
      <c r="G218" s="7" t="s">
        <v>267</v>
      </c>
      <c r="H218" s="14">
        <v>45041.0</v>
      </c>
      <c r="I218" s="14">
        <v>45101.0</v>
      </c>
      <c r="J218" s="8">
        <v>-993.0</v>
      </c>
      <c r="K218" s="15">
        <v>0.0</v>
      </c>
      <c r="L218" s="15">
        <v>0.0</v>
      </c>
      <c r="M218" s="15">
        <v>0.0</v>
      </c>
    </row>
    <row r="219" ht="13.5" customHeight="1" outlineLevel="3">
      <c r="A219" s="7" t="s">
        <v>265</v>
      </c>
      <c r="B219" s="7" t="s">
        <v>25</v>
      </c>
      <c r="C219" s="7" t="s">
        <v>45</v>
      </c>
      <c r="D219" s="7" t="s">
        <v>27</v>
      </c>
      <c r="E219" s="7" t="s">
        <v>19</v>
      </c>
      <c r="F219" s="7" t="s">
        <v>20</v>
      </c>
      <c r="G219" s="7" t="s">
        <v>268</v>
      </c>
      <c r="H219" s="14">
        <v>45387.0</v>
      </c>
      <c r="I219" s="14">
        <v>45447.0</v>
      </c>
      <c r="J219" s="8">
        <v>-653.0</v>
      </c>
      <c r="K219" s="15">
        <v>0.0</v>
      </c>
      <c r="L219" s="15">
        <v>0.0</v>
      </c>
      <c r="M219" s="15">
        <v>0.0</v>
      </c>
    </row>
    <row r="220" ht="13.5" customHeight="1" outlineLevel="3">
      <c r="A220" s="7" t="s">
        <v>265</v>
      </c>
      <c r="B220" s="7" t="s">
        <v>25</v>
      </c>
      <c r="C220" s="7" t="s">
        <v>45</v>
      </c>
      <c r="D220" s="7" t="s">
        <v>27</v>
      </c>
      <c r="E220" s="7" t="s">
        <v>19</v>
      </c>
      <c r="F220" s="7" t="s">
        <v>20</v>
      </c>
      <c r="G220" s="7" t="s">
        <v>269</v>
      </c>
      <c r="H220" s="14">
        <v>45390.0</v>
      </c>
      <c r="I220" s="14">
        <v>45450.0</v>
      </c>
      <c r="J220" s="8">
        <v>-650.0</v>
      </c>
      <c r="K220" s="15">
        <v>0.0</v>
      </c>
      <c r="L220" s="15">
        <v>0.0</v>
      </c>
      <c r="M220" s="15">
        <v>0.0</v>
      </c>
    </row>
    <row r="221" ht="13.5" customHeight="1" outlineLevel="3">
      <c r="A221" s="7" t="s">
        <v>265</v>
      </c>
      <c r="B221" s="7" t="s">
        <v>25</v>
      </c>
      <c r="C221" s="7" t="s">
        <v>50</v>
      </c>
      <c r="D221" s="7" t="s">
        <v>27</v>
      </c>
      <c r="E221" s="7" t="s">
        <v>19</v>
      </c>
      <c r="F221" s="7" t="s">
        <v>20</v>
      </c>
      <c r="G221" s="7" t="s">
        <v>270</v>
      </c>
      <c r="H221" s="14">
        <v>46059.0</v>
      </c>
      <c r="I221" s="14">
        <v>46117.0</v>
      </c>
      <c r="J221" s="8">
        <v>8.0</v>
      </c>
      <c r="K221" s="15">
        <v>942341.04</v>
      </c>
      <c r="L221" s="15">
        <v>0.0</v>
      </c>
      <c r="M221" s="15">
        <v>0.0</v>
      </c>
    </row>
    <row r="222" ht="13.5" customHeight="1" outlineLevel="3">
      <c r="A222" s="7" t="s">
        <v>265</v>
      </c>
      <c r="B222" s="7" t="s">
        <v>25</v>
      </c>
      <c r="C222" s="7" t="s">
        <v>50</v>
      </c>
      <c r="D222" s="7" t="s">
        <v>27</v>
      </c>
      <c r="E222" s="7" t="s">
        <v>19</v>
      </c>
      <c r="F222" s="7" t="s">
        <v>20</v>
      </c>
      <c r="G222" s="7" t="s">
        <v>271</v>
      </c>
      <c r="H222" s="14">
        <v>46063.0</v>
      </c>
      <c r="I222" s="14">
        <v>46121.0</v>
      </c>
      <c r="J222" s="8">
        <v>12.0</v>
      </c>
      <c r="K222" s="15">
        <v>8267098.67</v>
      </c>
      <c r="L222" s="15">
        <v>0.0</v>
      </c>
      <c r="M222" s="15">
        <v>0.0</v>
      </c>
    </row>
    <row r="223" ht="13.5" customHeight="1" outlineLevel="3">
      <c r="A223" s="7" t="s">
        <v>265</v>
      </c>
      <c r="B223" s="7" t="s">
        <v>25</v>
      </c>
      <c r="C223" s="7" t="s">
        <v>50</v>
      </c>
      <c r="D223" s="7" t="s">
        <v>27</v>
      </c>
      <c r="E223" s="7" t="s">
        <v>19</v>
      </c>
      <c r="F223" s="7" t="s">
        <v>20</v>
      </c>
      <c r="G223" s="7" t="s">
        <v>272</v>
      </c>
      <c r="H223" s="14">
        <v>46070.0</v>
      </c>
      <c r="I223" s="14">
        <v>46128.0</v>
      </c>
      <c r="J223" s="8">
        <v>19.0</v>
      </c>
      <c r="K223" s="15">
        <v>1683582.63</v>
      </c>
      <c r="L223" s="15">
        <v>0.0</v>
      </c>
      <c r="M223" s="15">
        <v>0.0</v>
      </c>
    </row>
    <row r="224" ht="13.5" customHeight="1" outlineLevel="3">
      <c r="A224" s="7" t="s">
        <v>265</v>
      </c>
      <c r="B224" s="7" t="s">
        <v>25</v>
      </c>
      <c r="C224" s="7" t="s">
        <v>26</v>
      </c>
      <c r="D224" s="7" t="s">
        <v>27</v>
      </c>
      <c r="E224" s="7" t="s">
        <v>19</v>
      </c>
      <c r="F224" s="7" t="s">
        <v>20</v>
      </c>
      <c r="G224" s="7" t="s">
        <v>273</v>
      </c>
      <c r="H224" s="14">
        <v>46072.0</v>
      </c>
      <c r="I224" s="14">
        <v>46130.0</v>
      </c>
      <c r="J224" s="8">
        <v>21.0</v>
      </c>
      <c r="K224" s="15">
        <v>5678896.79</v>
      </c>
      <c r="L224" s="15">
        <v>0.0</v>
      </c>
      <c r="M224" s="15">
        <v>0.0</v>
      </c>
    </row>
    <row r="225" ht="13.5" customHeight="1" outlineLevel="3">
      <c r="A225" s="7" t="s">
        <v>265</v>
      </c>
      <c r="B225" s="7" t="s">
        <v>25</v>
      </c>
      <c r="C225" s="7" t="s">
        <v>26</v>
      </c>
      <c r="D225" s="7" t="s">
        <v>27</v>
      </c>
      <c r="E225" s="7" t="s">
        <v>19</v>
      </c>
      <c r="F225" s="7" t="s">
        <v>20</v>
      </c>
      <c r="G225" s="7" t="s">
        <v>274</v>
      </c>
      <c r="H225" s="14">
        <v>46078.0</v>
      </c>
      <c r="I225" s="14">
        <v>46136.0</v>
      </c>
      <c r="J225" s="8">
        <v>27.0</v>
      </c>
      <c r="K225" s="15">
        <v>584883.81</v>
      </c>
      <c r="L225" s="15">
        <v>0.0</v>
      </c>
      <c r="M225" s="15">
        <v>0.0</v>
      </c>
    </row>
    <row r="226" ht="13.5" customHeight="1" outlineLevel="3">
      <c r="A226" s="7" t="s">
        <v>265</v>
      </c>
      <c r="B226" s="7" t="s">
        <v>25</v>
      </c>
      <c r="C226" s="7" t="s">
        <v>26</v>
      </c>
      <c r="D226" s="7" t="s">
        <v>27</v>
      </c>
      <c r="E226" s="7" t="s">
        <v>19</v>
      </c>
      <c r="F226" s="7" t="s">
        <v>20</v>
      </c>
      <c r="G226" s="7" t="s">
        <v>275</v>
      </c>
      <c r="H226" s="14">
        <v>46098.0</v>
      </c>
      <c r="I226" s="14">
        <v>46158.0</v>
      </c>
      <c r="J226" s="8">
        <v>49.0</v>
      </c>
      <c r="K226" s="15">
        <v>8815249.29</v>
      </c>
      <c r="L226" s="15">
        <v>0.0</v>
      </c>
      <c r="M226" s="15">
        <v>0.0</v>
      </c>
    </row>
    <row r="227" ht="13.5" customHeight="1" outlineLevel="3">
      <c r="A227" s="7" t="s">
        <v>265</v>
      </c>
      <c r="B227" s="7" t="s">
        <v>25</v>
      </c>
      <c r="C227" s="7" t="s">
        <v>26</v>
      </c>
      <c r="D227" s="7" t="s">
        <v>27</v>
      </c>
      <c r="E227" s="7" t="s">
        <v>19</v>
      </c>
      <c r="F227" s="7" t="s">
        <v>20</v>
      </c>
      <c r="G227" s="7" t="s">
        <v>276</v>
      </c>
      <c r="H227" s="14">
        <v>46107.0</v>
      </c>
      <c r="I227" s="14">
        <v>46167.0</v>
      </c>
      <c r="J227" s="8">
        <v>58.0</v>
      </c>
      <c r="K227" s="15">
        <v>1148807.56</v>
      </c>
      <c r="L227" s="15">
        <v>0.0</v>
      </c>
      <c r="M227" s="15">
        <v>0.0</v>
      </c>
    </row>
    <row r="228" ht="13.5" customHeight="1" outlineLevel="2">
      <c r="A228" s="7"/>
      <c r="B228" s="7"/>
      <c r="C228" s="7"/>
      <c r="D228" s="7"/>
      <c r="E228" s="16" t="s">
        <v>22</v>
      </c>
      <c r="F228" s="7"/>
      <c r="G228" s="7"/>
      <c r="H228" s="14"/>
      <c r="I228" s="14"/>
      <c r="J228" s="8"/>
      <c r="K228" s="15">
        <f t="shared" ref="K228:L228" si="65">SUBTOTAL(9,K217:K227)</f>
        <v>27120859.79</v>
      </c>
      <c r="L228" s="15">
        <f t="shared" si="65"/>
        <v>0</v>
      </c>
      <c r="M228" s="15"/>
    </row>
    <row r="229" ht="13.5" customHeight="1" outlineLevel="1">
      <c r="A229" s="16" t="s">
        <v>277</v>
      </c>
      <c r="B229" s="7"/>
      <c r="C229" s="7"/>
      <c r="D229" s="7"/>
      <c r="E229" s="7"/>
      <c r="F229" s="7"/>
      <c r="G229" s="7"/>
      <c r="H229" s="14"/>
      <c r="I229" s="14"/>
      <c r="J229" s="8"/>
      <c r="K229" s="15">
        <f t="shared" ref="K229:L229" si="66">SUBTOTAL(9,K217:K227)</f>
        <v>27120859.79</v>
      </c>
      <c r="L229" s="15">
        <f t="shared" si="66"/>
        <v>0</v>
      </c>
      <c r="M229" s="15"/>
    </row>
    <row r="230" ht="13.5" customHeight="1" outlineLevel="3">
      <c r="A230" s="7" t="s">
        <v>278</v>
      </c>
      <c r="B230" s="7" t="s">
        <v>25</v>
      </c>
      <c r="C230" s="7" t="s">
        <v>86</v>
      </c>
      <c r="D230" s="7" t="s">
        <v>66</v>
      </c>
      <c r="E230" s="7" t="s">
        <v>19</v>
      </c>
      <c r="F230" s="7" t="s">
        <v>20</v>
      </c>
      <c r="G230" s="7" t="s">
        <v>279</v>
      </c>
      <c r="H230" s="14">
        <v>46055.0</v>
      </c>
      <c r="I230" s="14">
        <v>46113.0</v>
      </c>
      <c r="J230" s="8">
        <v>4.0</v>
      </c>
      <c r="K230" s="15">
        <v>1768807.84</v>
      </c>
      <c r="L230" s="15">
        <v>0.0</v>
      </c>
      <c r="M230" s="15">
        <v>0.0</v>
      </c>
    </row>
    <row r="231" ht="13.5" customHeight="1" outlineLevel="3">
      <c r="A231" s="7" t="s">
        <v>278</v>
      </c>
      <c r="B231" s="7" t="s">
        <v>25</v>
      </c>
      <c r="C231" s="7" t="s">
        <v>86</v>
      </c>
      <c r="D231" s="7" t="s">
        <v>66</v>
      </c>
      <c r="E231" s="7" t="s">
        <v>19</v>
      </c>
      <c r="F231" s="7" t="s">
        <v>20</v>
      </c>
      <c r="G231" s="7" t="s">
        <v>280</v>
      </c>
      <c r="H231" s="14">
        <v>46079.0</v>
      </c>
      <c r="I231" s="14">
        <v>46137.0</v>
      </c>
      <c r="J231" s="8">
        <v>28.0</v>
      </c>
      <c r="K231" s="15">
        <v>2807417.0</v>
      </c>
      <c r="L231" s="15">
        <v>0.0</v>
      </c>
      <c r="M231" s="15">
        <v>0.0</v>
      </c>
    </row>
    <row r="232" ht="13.5" customHeight="1" outlineLevel="3">
      <c r="A232" s="7" t="s">
        <v>278</v>
      </c>
      <c r="B232" s="7" t="s">
        <v>25</v>
      </c>
      <c r="C232" s="7" t="s">
        <v>86</v>
      </c>
      <c r="D232" s="7" t="s">
        <v>66</v>
      </c>
      <c r="E232" s="7" t="s">
        <v>19</v>
      </c>
      <c r="F232" s="7" t="s">
        <v>20</v>
      </c>
      <c r="G232" s="7" t="s">
        <v>281</v>
      </c>
      <c r="H232" s="14">
        <v>46084.0</v>
      </c>
      <c r="I232" s="14">
        <v>46144.0</v>
      </c>
      <c r="J232" s="8">
        <v>35.0</v>
      </c>
      <c r="K232" s="15">
        <v>2789114.85</v>
      </c>
      <c r="L232" s="15">
        <v>0.0</v>
      </c>
      <c r="M232" s="15">
        <v>0.0</v>
      </c>
    </row>
    <row r="233" ht="13.5" customHeight="1" outlineLevel="3">
      <c r="A233" s="7" t="s">
        <v>278</v>
      </c>
      <c r="B233" s="7" t="s">
        <v>25</v>
      </c>
      <c r="C233" s="7" t="s">
        <v>86</v>
      </c>
      <c r="D233" s="7" t="s">
        <v>66</v>
      </c>
      <c r="E233" s="7" t="s">
        <v>19</v>
      </c>
      <c r="F233" s="7" t="s">
        <v>20</v>
      </c>
      <c r="G233" s="7" t="s">
        <v>282</v>
      </c>
      <c r="H233" s="14">
        <v>46092.0</v>
      </c>
      <c r="I233" s="14">
        <v>46152.0</v>
      </c>
      <c r="J233" s="8">
        <v>43.0</v>
      </c>
      <c r="K233" s="15">
        <v>1.235351436E7</v>
      </c>
      <c r="L233" s="15">
        <v>0.0</v>
      </c>
      <c r="M233" s="15">
        <v>0.0</v>
      </c>
    </row>
    <row r="234" ht="13.5" customHeight="1" outlineLevel="3">
      <c r="A234" s="7" t="s">
        <v>278</v>
      </c>
      <c r="B234" s="7" t="s">
        <v>25</v>
      </c>
      <c r="C234" s="7" t="s">
        <v>86</v>
      </c>
      <c r="D234" s="7" t="s">
        <v>66</v>
      </c>
      <c r="E234" s="7" t="s">
        <v>19</v>
      </c>
      <c r="F234" s="7" t="s">
        <v>20</v>
      </c>
      <c r="G234" s="7" t="s">
        <v>283</v>
      </c>
      <c r="H234" s="14">
        <v>46097.0</v>
      </c>
      <c r="I234" s="14">
        <v>46157.0</v>
      </c>
      <c r="J234" s="8">
        <v>48.0</v>
      </c>
      <c r="K234" s="15">
        <v>2321151.82</v>
      </c>
      <c r="L234" s="15">
        <v>0.0</v>
      </c>
      <c r="M234" s="15">
        <v>0.0</v>
      </c>
    </row>
    <row r="235" ht="13.5" customHeight="1" outlineLevel="2">
      <c r="A235" s="7"/>
      <c r="B235" s="7"/>
      <c r="C235" s="7"/>
      <c r="D235" s="7"/>
      <c r="E235" s="16" t="s">
        <v>22</v>
      </c>
      <c r="F235" s="7"/>
      <c r="G235" s="7"/>
      <c r="H235" s="14"/>
      <c r="I235" s="14"/>
      <c r="J235" s="8"/>
      <c r="K235" s="15">
        <f t="shared" ref="K235:L235" si="67">SUBTOTAL(9,K230:K234)</f>
        <v>22040005.87</v>
      </c>
      <c r="L235" s="15">
        <f t="shared" si="67"/>
        <v>0</v>
      </c>
      <c r="M235" s="15"/>
    </row>
    <row r="236" ht="13.5" customHeight="1" outlineLevel="1">
      <c r="A236" s="16" t="s">
        <v>284</v>
      </c>
      <c r="B236" s="7"/>
      <c r="C236" s="7"/>
      <c r="D236" s="7"/>
      <c r="E236" s="7"/>
      <c r="F236" s="7"/>
      <c r="G236" s="7"/>
      <c r="H236" s="14"/>
      <c r="I236" s="14"/>
      <c r="J236" s="8"/>
      <c r="K236" s="15">
        <f t="shared" ref="K236:L236" si="68">SUBTOTAL(9,K230:K234)</f>
        <v>22040005.87</v>
      </c>
      <c r="L236" s="15">
        <f t="shared" si="68"/>
        <v>0</v>
      </c>
      <c r="M236" s="15"/>
    </row>
    <row r="237" ht="13.5" customHeight="1" outlineLevel="3">
      <c r="A237" s="7" t="s">
        <v>285</v>
      </c>
      <c r="B237" s="7" t="s">
        <v>25</v>
      </c>
      <c r="C237" s="7" t="s">
        <v>26</v>
      </c>
      <c r="D237" s="7" t="s">
        <v>27</v>
      </c>
      <c r="E237" s="7" t="s">
        <v>19</v>
      </c>
      <c r="F237" s="7" t="s">
        <v>20</v>
      </c>
      <c r="G237" s="7" t="s">
        <v>286</v>
      </c>
      <c r="H237" s="14">
        <v>46044.0</v>
      </c>
      <c r="I237" s="14">
        <v>46102.0</v>
      </c>
      <c r="J237" s="8">
        <v>-6.0</v>
      </c>
      <c r="K237" s="15">
        <v>1984926.6</v>
      </c>
      <c r="L237" s="15">
        <v>1984926.6</v>
      </c>
      <c r="M237" s="15">
        <v>1984926.6</v>
      </c>
    </row>
    <row r="238" ht="13.5" customHeight="1" outlineLevel="3">
      <c r="A238" s="7" t="s">
        <v>285</v>
      </c>
      <c r="B238" s="7" t="s">
        <v>25</v>
      </c>
      <c r="C238" s="7" t="s">
        <v>26</v>
      </c>
      <c r="D238" s="7" t="s">
        <v>27</v>
      </c>
      <c r="E238" s="7" t="s">
        <v>19</v>
      </c>
      <c r="F238" s="7" t="s">
        <v>20</v>
      </c>
      <c r="G238" s="7" t="s">
        <v>287</v>
      </c>
      <c r="H238" s="14">
        <v>46049.0</v>
      </c>
      <c r="I238" s="14">
        <v>46107.0</v>
      </c>
      <c r="J238" s="8">
        <v>-1.0</v>
      </c>
      <c r="K238" s="15">
        <v>2231706.71</v>
      </c>
      <c r="L238" s="15">
        <v>2231706.71</v>
      </c>
      <c r="M238" s="15">
        <v>4216633.31</v>
      </c>
    </row>
    <row r="239" ht="13.5" customHeight="1" outlineLevel="3">
      <c r="A239" s="7" t="s">
        <v>285</v>
      </c>
      <c r="B239" s="7" t="s">
        <v>25</v>
      </c>
      <c r="C239" s="7" t="s">
        <v>26</v>
      </c>
      <c r="D239" s="7" t="s">
        <v>27</v>
      </c>
      <c r="E239" s="7" t="s">
        <v>19</v>
      </c>
      <c r="F239" s="7" t="s">
        <v>20</v>
      </c>
      <c r="G239" s="7" t="s">
        <v>288</v>
      </c>
      <c r="H239" s="14">
        <v>46049.0</v>
      </c>
      <c r="I239" s="14">
        <v>46107.0</v>
      </c>
      <c r="J239" s="8">
        <v>-1.0</v>
      </c>
      <c r="K239" s="15">
        <v>2339665.43</v>
      </c>
      <c r="L239" s="15">
        <v>2339665.43</v>
      </c>
      <c r="M239" s="15">
        <v>6556298.74</v>
      </c>
    </row>
    <row r="240" ht="13.5" customHeight="1" outlineLevel="3">
      <c r="A240" s="7" t="s">
        <v>285</v>
      </c>
      <c r="B240" s="7" t="s">
        <v>25</v>
      </c>
      <c r="C240" s="7" t="s">
        <v>26</v>
      </c>
      <c r="D240" s="7" t="s">
        <v>27</v>
      </c>
      <c r="E240" s="7" t="s">
        <v>19</v>
      </c>
      <c r="F240" s="7" t="s">
        <v>20</v>
      </c>
      <c r="G240" s="7" t="s">
        <v>289</v>
      </c>
      <c r="H240" s="14">
        <v>46070.0</v>
      </c>
      <c r="I240" s="14">
        <v>46128.0</v>
      </c>
      <c r="J240" s="8">
        <v>19.0</v>
      </c>
      <c r="K240" s="15">
        <v>1519188.34</v>
      </c>
      <c r="L240" s="15">
        <v>0.0</v>
      </c>
      <c r="M240" s="15">
        <v>6556298.74</v>
      </c>
    </row>
    <row r="241" ht="13.5" customHeight="1" outlineLevel="3">
      <c r="A241" s="7" t="s">
        <v>285</v>
      </c>
      <c r="B241" s="7" t="s">
        <v>25</v>
      </c>
      <c r="C241" s="7" t="s">
        <v>26</v>
      </c>
      <c r="D241" s="7" t="s">
        <v>27</v>
      </c>
      <c r="E241" s="7" t="s">
        <v>19</v>
      </c>
      <c r="F241" s="7" t="s">
        <v>20</v>
      </c>
      <c r="G241" s="7" t="s">
        <v>290</v>
      </c>
      <c r="H241" s="14">
        <v>46076.0</v>
      </c>
      <c r="I241" s="14">
        <v>46134.0</v>
      </c>
      <c r="J241" s="8">
        <v>25.0</v>
      </c>
      <c r="K241" s="15">
        <v>607340.3</v>
      </c>
      <c r="L241" s="15">
        <v>0.0</v>
      </c>
      <c r="M241" s="15">
        <v>6556298.74</v>
      </c>
    </row>
    <row r="242" ht="13.5" customHeight="1" outlineLevel="3">
      <c r="A242" s="7" t="s">
        <v>285</v>
      </c>
      <c r="B242" s="7" t="s">
        <v>25</v>
      </c>
      <c r="C242" s="7" t="s">
        <v>26</v>
      </c>
      <c r="D242" s="7" t="s">
        <v>27</v>
      </c>
      <c r="E242" s="7" t="s">
        <v>19</v>
      </c>
      <c r="F242" s="7" t="s">
        <v>20</v>
      </c>
      <c r="G242" s="7" t="s">
        <v>291</v>
      </c>
      <c r="H242" s="14">
        <v>46100.0</v>
      </c>
      <c r="I242" s="14">
        <v>46160.0</v>
      </c>
      <c r="J242" s="8">
        <v>51.0</v>
      </c>
      <c r="K242" s="15">
        <v>2551428.64</v>
      </c>
      <c r="L242" s="15">
        <v>0.0</v>
      </c>
      <c r="M242" s="15">
        <v>6556298.74</v>
      </c>
    </row>
    <row r="243" ht="13.5" customHeight="1" outlineLevel="3">
      <c r="A243" s="7" t="s">
        <v>285</v>
      </c>
      <c r="B243" s="7" t="s">
        <v>25</v>
      </c>
      <c r="C243" s="7" t="s">
        <v>26</v>
      </c>
      <c r="D243" s="7" t="s">
        <v>27</v>
      </c>
      <c r="E243" s="7" t="s">
        <v>19</v>
      </c>
      <c r="F243" s="7" t="s">
        <v>20</v>
      </c>
      <c r="G243" s="7" t="s">
        <v>292</v>
      </c>
      <c r="H243" s="14">
        <v>46100.0</v>
      </c>
      <c r="I243" s="14">
        <v>46160.0</v>
      </c>
      <c r="J243" s="8">
        <v>51.0</v>
      </c>
      <c r="K243" s="15">
        <v>1777138.78</v>
      </c>
      <c r="L243" s="15">
        <v>0.0</v>
      </c>
      <c r="M243" s="15">
        <v>6556298.74</v>
      </c>
    </row>
    <row r="244" ht="13.5" customHeight="1" outlineLevel="2">
      <c r="A244" s="7"/>
      <c r="B244" s="7"/>
      <c r="C244" s="7"/>
      <c r="D244" s="7"/>
      <c r="E244" s="16" t="s">
        <v>22</v>
      </c>
      <c r="F244" s="7"/>
      <c r="G244" s="7"/>
      <c r="H244" s="14"/>
      <c r="I244" s="14"/>
      <c r="J244" s="8"/>
      <c r="K244" s="15">
        <f t="shared" ref="K244:L244" si="69">SUBTOTAL(9,K237:K243)</f>
        <v>13011394.8</v>
      </c>
      <c r="L244" s="15">
        <f t="shared" si="69"/>
        <v>6556298.74</v>
      </c>
      <c r="M244" s="15"/>
    </row>
    <row r="245" ht="13.5" customHeight="1" outlineLevel="1">
      <c r="A245" s="16" t="s">
        <v>293</v>
      </c>
      <c r="B245" s="7"/>
      <c r="C245" s="7"/>
      <c r="D245" s="7"/>
      <c r="E245" s="7"/>
      <c r="F245" s="7"/>
      <c r="G245" s="7"/>
      <c r="H245" s="14"/>
      <c r="I245" s="14"/>
      <c r="J245" s="8"/>
      <c r="K245" s="15">
        <f t="shared" ref="K245:L245" si="70">SUBTOTAL(9,K237:K243)</f>
        <v>13011394.8</v>
      </c>
      <c r="L245" s="15">
        <f t="shared" si="70"/>
        <v>6556298.74</v>
      </c>
      <c r="M245" s="15"/>
    </row>
    <row r="246" ht="13.5" customHeight="1" outlineLevel="3">
      <c r="A246" s="7" t="s">
        <v>294</v>
      </c>
      <c r="B246" s="7" t="s">
        <v>295</v>
      </c>
      <c r="C246" s="7" t="s">
        <v>26</v>
      </c>
      <c r="D246" s="7" t="s">
        <v>27</v>
      </c>
      <c r="E246" s="7" t="s">
        <v>19</v>
      </c>
      <c r="F246" s="7" t="s">
        <v>20</v>
      </c>
      <c r="G246" s="7" t="s">
        <v>296</v>
      </c>
      <c r="H246" s="14">
        <v>46049.0</v>
      </c>
      <c r="I246" s="14">
        <v>46107.0</v>
      </c>
      <c r="J246" s="8">
        <v>-1.0</v>
      </c>
      <c r="K246" s="15">
        <v>1.57845285E8</v>
      </c>
      <c r="L246" s="15">
        <v>1.57845285E8</v>
      </c>
      <c r="M246" s="15">
        <v>1.57845285E8</v>
      </c>
    </row>
    <row r="247" ht="13.5" customHeight="1" outlineLevel="3">
      <c r="A247" s="7" t="s">
        <v>294</v>
      </c>
      <c r="B247" s="7" t="s">
        <v>295</v>
      </c>
      <c r="C247" s="7" t="s">
        <v>26</v>
      </c>
      <c r="D247" s="7" t="s">
        <v>27</v>
      </c>
      <c r="E247" s="7" t="s">
        <v>19</v>
      </c>
      <c r="F247" s="7" t="s">
        <v>20</v>
      </c>
      <c r="G247" s="7" t="s">
        <v>297</v>
      </c>
      <c r="H247" s="14">
        <v>46077.0</v>
      </c>
      <c r="I247" s="14">
        <v>46135.0</v>
      </c>
      <c r="J247" s="8">
        <v>26.0</v>
      </c>
      <c r="K247" s="15">
        <v>1.16799345E8</v>
      </c>
      <c r="L247" s="15">
        <v>0.0</v>
      </c>
      <c r="M247" s="15">
        <v>1.57845285E8</v>
      </c>
    </row>
    <row r="248" ht="13.5" customHeight="1" outlineLevel="3">
      <c r="A248" s="7" t="s">
        <v>294</v>
      </c>
      <c r="B248" s="7" t="s">
        <v>295</v>
      </c>
      <c r="C248" s="7" t="s">
        <v>26</v>
      </c>
      <c r="D248" s="7" t="s">
        <v>27</v>
      </c>
      <c r="E248" s="7" t="s">
        <v>19</v>
      </c>
      <c r="F248" s="7" t="s">
        <v>20</v>
      </c>
      <c r="G248" s="7" t="s">
        <v>298</v>
      </c>
      <c r="H248" s="14">
        <v>46105.0</v>
      </c>
      <c r="I248" s="14">
        <v>46165.0</v>
      </c>
      <c r="J248" s="8">
        <v>56.0</v>
      </c>
      <c r="K248" s="15">
        <v>1.75323915E8</v>
      </c>
      <c r="L248" s="15">
        <v>0.0</v>
      </c>
      <c r="M248" s="15">
        <v>1.57845285E8</v>
      </c>
    </row>
    <row r="249" ht="13.5" customHeight="1" outlineLevel="2">
      <c r="A249" s="7"/>
      <c r="B249" s="7"/>
      <c r="C249" s="7"/>
      <c r="D249" s="7"/>
      <c r="E249" s="16" t="s">
        <v>22</v>
      </c>
      <c r="F249" s="7"/>
      <c r="G249" s="7"/>
      <c r="H249" s="14"/>
      <c r="I249" s="14"/>
      <c r="J249" s="8"/>
      <c r="K249" s="15">
        <f t="shared" ref="K249:L249" si="71">SUBTOTAL(9,K246:K248)</f>
        <v>449968545</v>
      </c>
      <c r="L249" s="15">
        <f t="shared" si="71"/>
        <v>157845285</v>
      </c>
      <c r="M249" s="15"/>
    </row>
    <row r="250" ht="13.5" customHeight="1" outlineLevel="1">
      <c r="A250" s="16" t="s">
        <v>299</v>
      </c>
      <c r="B250" s="7"/>
      <c r="C250" s="7"/>
      <c r="D250" s="7"/>
      <c r="E250" s="7"/>
      <c r="F250" s="7"/>
      <c r="G250" s="7"/>
      <c r="H250" s="14"/>
      <c r="I250" s="14"/>
      <c r="J250" s="8"/>
      <c r="K250" s="15">
        <f t="shared" ref="K250:L250" si="72">SUBTOTAL(9,K246:K248)</f>
        <v>449968545</v>
      </c>
      <c r="L250" s="15">
        <f t="shared" si="72"/>
        <v>157845285</v>
      </c>
      <c r="M250" s="15"/>
    </row>
    <row r="251" ht="13.5" customHeight="1" outlineLevel="3">
      <c r="A251" s="7" t="s">
        <v>300</v>
      </c>
      <c r="B251" s="7" t="s">
        <v>243</v>
      </c>
      <c r="C251" s="7" t="s">
        <v>26</v>
      </c>
      <c r="D251" s="7" t="s">
        <v>27</v>
      </c>
      <c r="E251" s="7" t="s">
        <v>19</v>
      </c>
      <c r="F251" s="7" t="s">
        <v>20</v>
      </c>
      <c r="G251" s="7" t="s">
        <v>301</v>
      </c>
      <c r="H251" s="14">
        <v>46050.0</v>
      </c>
      <c r="I251" s="14">
        <v>46108.0</v>
      </c>
      <c r="J251" s="8">
        <v>0.0</v>
      </c>
      <c r="K251" s="15">
        <v>2.030274625E7</v>
      </c>
      <c r="L251" s="15">
        <v>0.0</v>
      </c>
      <c r="M251" s="15">
        <v>0.0</v>
      </c>
    </row>
    <row r="252" ht="13.5" customHeight="1" outlineLevel="3">
      <c r="A252" s="7" t="s">
        <v>300</v>
      </c>
      <c r="B252" s="7" t="s">
        <v>243</v>
      </c>
      <c r="C252" s="7" t="s">
        <v>26</v>
      </c>
      <c r="D252" s="7" t="s">
        <v>27</v>
      </c>
      <c r="E252" s="7" t="s">
        <v>19</v>
      </c>
      <c r="F252" s="7" t="s">
        <v>20</v>
      </c>
      <c r="G252" s="7" t="s">
        <v>302</v>
      </c>
      <c r="H252" s="14">
        <v>46057.0</v>
      </c>
      <c r="I252" s="14">
        <v>46115.0</v>
      </c>
      <c r="J252" s="8">
        <v>6.0</v>
      </c>
      <c r="K252" s="15">
        <v>2.104839285E7</v>
      </c>
      <c r="L252" s="15">
        <v>0.0</v>
      </c>
      <c r="M252" s="15">
        <v>0.0</v>
      </c>
    </row>
    <row r="253" ht="13.5" customHeight="1" outlineLevel="3">
      <c r="A253" s="7" t="s">
        <v>300</v>
      </c>
      <c r="B253" s="7" t="s">
        <v>243</v>
      </c>
      <c r="C253" s="7" t="s">
        <v>26</v>
      </c>
      <c r="D253" s="7" t="s">
        <v>27</v>
      </c>
      <c r="E253" s="7" t="s">
        <v>19</v>
      </c>
      <c r="F253" s="7" t="s">
        <v>20</v>
      </c>
      <c r="G253" s="7" t="s">
        <v>303</v>
      </c>
      <c r="H253" s="14">
        <v>46085.0</v>
      </c>
      <c r="I253" s="14">
        <v>46145.0</v>
      </c>
      <c r="J253" s="8">
        <v>36.0</v>
      </c>
      <c r="K253" s="15">
        <v>2218323.1</v>
      </c>
      <c r="L253" s="15">
        <v>0.0</v>
      </c>
      <c r="M253" s="15">
        <v>0.0</v>
      </c>
    </row>
    <row r="254" ht="13.5" customHeight="1" outlineLevel="3">
      <c r="A254" s="7" t="s">
        <v>300</v>
      </c>
      <c r="B254" s="7" t="s">
        <v>243</v>
      </c>
      <c r="C254" s="7" t="s">
        <v>26</v>
      </c>
      <c r="D254" s="7" t="s">
        <v>27</v>
      </c>
      <c r="E254" s="7" t="s">
        <v>19</v>
      </c>
      <c r="F254" s="7" t="s">
        <v>20</v>
      </c>
      <c r="G254" s="7" t="s">
        <v>304</v>
      </c>
      <c r="H254" s="14">
        <v>46097.0</v>
      </c>
      <c r="I254" s="14">
        <v>46157.0</v>
      </c>
      <c r="J254" s="8">
        <v>48.0</v>
      </c>
      <c r="K254" s="15">
        <v>2.034119125E7</v>
      </c>
      <c r="L254" s="15">
        <v>0.0</v>
      </c>
      <c r="M254" s="15">
        <v>0.0</v>
      </c>
    </row>
    <row r="255" ht="13.5" customHeight="1" outlineLevel="3">
      <c r="A255" s="7" t="s">
        <v>300</v>
      </c>
      <c r="B255" s="7" t="s">
        <v>243</v>
      </c>
      <c r="C255" s="7" t="s">
        <v>26</v>
      </c>
      <c r="D255" s="7" t="s">
        <v>27</v>
      </c>
      <c r="E255" s="7" t="s">
        <v>19</v>
      </c>
      <c r="F255" s="7" t="s">
        <v>20</v>
      </c>
      <c r="G255" s="7" t="s">
        <v>305</v>
      </c>
      <c r="H255" s="14">
        <v>46098.0</v>
      </c>
      <c r="I255" s="14">
        <v>46158.0</v>
      </c>
      <c r="J255" s="8">
        <v>49.0</v>
      </c>
      <c r="K255" s="15">
        <v>4335477.6</v>
      </c>
      <c r="L255" s="15">
        <v>0.0</v>
      </c>
      <c r="M255" s="15">
        <v>0.0</v>
      </c>
    </row>
    <row r="256" ht="13.5" customHeight="1" outlineLevel="2">
      <c r="A256" s="7"/>
      <c r="B256" s="7"/>
      <c r="C256" s="7"/>
      <c r="D256" s="7"/>
      <c r="E256" s="16" t="s">
        <v>22</v>
      </c>
      <c r="F256" s="7"/>
      <c r="G256" s="7"/>
      <c r="H256" s="14"/>
      <c r="I256" s="14"/>
      <c r="J256" s="8"/>
      <c r="K256" s="15">
        <f t="shared" ref="K256:L256" si="73">SUBTOTAL(9,K251:K255)</f>
        <v>68246131.05</v>
      </c>
      <c r="L256" s="15">
        <f t="shared" si="73"/>
        <v>0</v>
      </c>
      <c r="M256" s="15"/>
    </row>
    <row r="257" ht="13.5" customHeight="1" outlineLevel="1">
      <c r="A257" s="16" t="s">
        <v>306</v>
      </c>
      <c r="B257" s="7"/>
      <c r="C257" s="7"/>
      <c r="D257" s="7"/>
      <c r="E257" s="7"/>
      <c r="F257" s="7"/>
      <c r="G257" s="7"/>
      <c r="H257" s="14"/>
      <c r="I257" s="14"/>
      <c r="J257" s="8"/>
      <c r="K257" s="15">
        <f t="shared" ref="K257:L257" si="74">SUBTOTAL(9,K251:K255)</f>
        <v>68246131.05</v>
      </c>
      <c r="L257" s="15">
        <f t="shared" si="74"/>
        <v>0</v>
      </c>
      <c r="M257" s="15"/>
    </row>
    <row r="258" ht="13.5" customHeight="1" outlineLevel="3">
      <c r="A258" s="7" t="s">
        <v>307</v>
      </c>
      <c r="B258" s="7" t="s">
        <v>308</v>
      </c>
      <c r="C258" s="7" t="s">
        <v>45</v>
      </c>
      <c r="D258" s="7" t="s">
        <v>66</v>
      </c>
      <c r="E258" s="7" t="s">
        <v>19</v>
      </c>
      <c r="F258" s="7" t="s">
        <v>20</v>
      </c>
      <c r="G258" s="7" t="s">
        <v>309</v>
      </c>
      <c r="H258" s="14">
        <v>45827.0</v>
      </c>
      <c r="I258" s="14">
        <v>45887.0</v>
      </c>
      <c r="J258" s="8">
        <v>-219.0</v>
      </c>
      <c r="K258" s="15">
        <v>1.163856196E7</v>
      </c>
      <c r="L258" s="15">
        <v>1.163856196E7</v>
      </c>
      <c r="M258" s="15">
        <v>1.163856196E7</v>
      </c>
    </row>
    <row r="259" ht="13.5" customHeight="1" outlineLevel="3">
      <c r="A259" s="7" t="s">
        <v>307</v>
      </c>
      <c r="B259" s="7" t="s">
        <v>308</v>
      </c>
      <c r="C259" s="7" t="s">
        <v>86</v>
      </c>
      <c r="D259" s="7" t="s">
        <v>66</v>
      </c>
      <c r="E259" s="7" t="s">
        <v>19</v>
      </c>
      <c r="F259" s="7" t="s">
        <v>20</v>
      </c>
      <c r="G259" s="7" t="s">
        <v>310</v>
      </c>
      <c r="H259" s="14">
        <v>45827.0</v>
      </c>
      <c r="I259" s="14">
        <v>45887.0</v>
      </c>
      <c r="J259" s="8">
        <v>-219.0</v>
      </c>
      <c r="K259" s="15">
        <v>710912.12</v>
      </c>
      <c r="L259" s="15">
        <v>710912.12</v>
      </c>
      <c r="M259" s="15">
        <v>1.234947408E7</v>
      </c>
    </row>
    <row r="260" ht="13.5" customHeight="1" outlineLevel="3">
      <c r="A260" s="7" t="s">
        <v>307</v>
      </c>
      <c r="B260" s="7" t="s">
        <v>308</v>
      </c>
      <c r="C260" s="7" t="s">
        <v>45</v>
      </c>
      <c r="D260" s="7" t="s">
        <v>66</v>
      </c>
      <c r="E260" s="7" t="s">
        <v>19</v>
      </c>
      <c r="F260" s="7" t="s">
        <v>20</v>
      </c>
      <c r="G260" s="7" t="s">
        <v>311</v>
      </c>
      <c r="H260" s="14">
        <v>45840.0</v>
      </c>
      <c r="I260" s="14">
        <v>45901.0</v>
      </c>
      <c r="J260" s="8">
        <v>-206.0</v>
      </c>
      <c r="K260" s="15">
        <v>1.106508845E7</v>
      </c>
      <c r="L260" s="15">
        <v>1.106508845E7</v>
      </c>
      <c r="M260" s="15">
        <v>2.341456253E7</v>
      </c>
    </row>
    <row r="261" ht="13.5" customHeight="1" outlineLevel="3">
      <c r="A261" s="7" t="s">
        <v>307</v>
      </c>
      <c r="B261" s="7" t="s">
        <v>308</v>
      </c>
      <c r="C261" s="7" t="s">
        <v>86</v>
      </c>
      <c r="D261" s="7" t="s">
        <v>66</v>
      </c>
      <c r="E261" s="7" t="s">
        <v>19</v>
      </c>
      <c r="F261" s="7" t="s">
        <v>20</v>
      </c>
      <c r="G261" s="7" t="s">
        <v>312</v>
      </c>
      <c r="H261" s="14">
        <v>45852.0</v>
      </c>
      <c r="I261" s="14">
        <v>45913.0</v>
      </c>
      <c r="J261" s="8">
        <v>-194.0</v>
      </c>
      <c r="K261" s="15">
        <v>494093.95</v>
      </c>
      <c r="L261" s="15">
        <v>494093.95</v>
      </c>
      <c r="M261" s="15">
        <v>2.390865648E7</v>
      </c>
    </row>
    <row r="262" ht="13.5" customHeight="1" outlineLevel="3">
      <c r="A262" s="7" t="s">
        <v>307</v>
      </c>
      <c r="B262" s="7" t="s">
        <v>308</v>
      </c>
      <c r="C262" s="7" t="s">
        <v>86</v>
      </c>
      <c r="D262" s="7" t="s">
        <v>66</v>
      </c>
      <c r="E262" s="7" t="s">
        <v>19</v>
      </c>
      <c r="F262" s="7" t="s">
        <v>20</v>
      </c>
      <c r="G262" s="7" t="s">
        <v>313</v>
      </c>
      <c r="H262" s="14">
        <v>45852.0</v>
      </c>
      <c r="I262" s="14">
        <v>45913.0</v>
      </c>
      <c r="J262" s="8">
        <v>-194.0</v>
      </c>
      <c r="K262" s="15">
        <v>515293.8</v>
      </c>
      <c r="L262" s="15">
        <v>515293.8</v>
      </c>
      <c r="M262" s="15">
        <v>2.442395028E7</v>
      </c>
    </row>
    <row r="263" ht="13.5" customHeight="1" outlineLevel="3">
      <c r="A263" s="7" t="s">
        <v>307</v>
      </c>
      <c r="B263" s="7" t="s">
        <v>308</v>
      </c>
      <c r="C263" s="7" t="s">
        <v>86</v>
      </c>
      <c r="D263" s="7" t="s">
        <v>66</v>
      </c>
      <c r="E263" s="7" t="s">
        <v>19</v>
      </c>
      <c r="F263" s="7" t="s">
        <v>20</v>
      </c>
      <c r="G263" s="7" t="s">
        <v>314</v>
      </c>
      <c r="H263" s="14">
        <v>45852.0</v>
      </c>
      <c r="I263" s="14">
        <v>45913.0</v>
      </c>
      <c r="J263" s="8">
        <v>-194.0</v>
      </c>
      <c r="K263" s="15">
        <v>814661.2</v>
      </c>
      <c r="L263" s="15">
        <v>814661.2</v>
      </c>
      <c r="M263" s="15">
        <v>2.523861148E7</v>
      </c>
    </row>
    <row r="264" ht="13.5" customHeight="1" outlineLevel="3">
      <c r="A264" s="7" t="s">
        <v>307</v>
      </c>
      <c r="B264" s="7" t="s">
        <v>308</v>
      </c>
      <c r="C264" s="7" t="s">
        <v>86</v>
      </c>
      <c r="D264" s="7" t="s">
        <v>66</v>
      </c>
      <c r="E264" s="7" t="s">
        <v>19</v>
      </c>
      <c r="F264" s="7" t="s">
        <v>20</v>
      </c>
      <c r="G264" s="7" t="s">
        <v>315</v>
      </c>
      <c r="H264" s="14">
        <v>45861.0</v>
      </c>
      <c r="I264" s="14">
        <v>45922.0</v>
      </c>
      <c r="J264" s="8">
        <v>-185.0</v>
      </c>
      <c r="K264" s="15">
        <v>8662885.24</v>
      </c>
      <c r="L264" s="15">
        <v>8662885.24</v>
      </c>
      <c r="M264" s="15">
        <v>3.390149672E7</v>
      </c>
    </row>
    <row r="265" ht="13.5" customHeight="1" outlineLevel="3">
      <c r="A265" s="7" t="s">
        <v>307</v>
      </c>
      <c r="B265" s="7" t="s">
        <v>308</v>
      </c>
      <c r="C265" s="7" t="s">
        <v>86</v>
      </c>
      <c r="D265" s="7" t="s">
        <v>66</v>
      </c>
      <c r="E265" s="7" t="s">
        <v>19</v>
      </c>
      <c r="F265" s="7" t="s">
        <v>20</v>
      </c>
      <c r="G265" s="7" t="s">
        <v>316</v>
      </c>
      <c r="H265" s="14">
        <v>45861.0</v>
      </c>
      <c r="I265" s="14">
        <v>45922.0</v>
      </c>
      <c r="J265" s="8">
        <v>-185.0</v>
      </c>
      <c r="K265" s="15">
        <v>501186.35</v>
      </c>
      <c r="L265" s="15">
        <v>501186.35</v>
      </c>
      <c r="M265" s="15">
        <v>3.440268307E7</v>
      </c>
    </row>
    <row r="266" ht="13.5" customHeight="1" outlineLevel="3">
      <c r="A266" s="7" t="s">
        <v>307</v>
      </c>
      <c r="B266" s="7" t="s">
        <v>308</v>
      </c>
      <c r="C266" s="7" t="s">
        <v>86</v>
      </c>
      <c r="D266" s="7" t="s">
        <v>66</v>
      </c>
      <c r="E266" s="7" t="s">
        <v>19</v>
      </c>
      <c r="F266" s="7" t="s">
        <v>20</v>
      </c>
      <c r="G266" s="7" t="s">
        <v>317</v>
      </c>
      <c r="H266" s="14">
        <v>45863.0</v>
      </c>
      <c r="I266" s="14">
        <v>45924.0</v>
      </c>
      <c r="J266" s="8">
        <v>-183.0</v>
      </c>
      <c r="K266" s="15">
        <v>6151968.9</v>
      </c>
      <c r="L266" s="15">
        <v>6151968.9</v>
      </c>
      <c r="M266" s="15">
        <v>4.055465197E7</v>
      </c>
    </row>
    <row r="267" ht="13.5" customHeight="1" outlineLevel="3">
      <c r="A267" s="7" t="s">
        <v>307</v>
      </c>
      <c r="B267" s="7" t="s">
        <v>308</v>
      </c>
      <c r="C267" s="7" t="s">
        <v>86</v>
      </c>
      <c r="D267" s="7" t="s">
        <v>66</v>
      </c>
      <c r="E267" s="7" t="s">
        <v>19</v>
      </c>
      <c r="F267" s="7" t="s">
        <v>20</v>
      </c>
      <c r="G267" s="7" t="s">
        <v>318</v>
      </c>
      <c r="H267" s="14">
        <v>45863.0</v>
      </c>
      <c r="I267" s="14">
        <v>45924.0</v>
      </c>
      <c r="J267" s="8">
        <v>-183.0</v>
      </c>
      <c r="K267" s="15">
        <v>1.110772162E7</v>
      </c>
      <c r="L267" s="15">
        <v>1.110772162E7</v>
      </c>
      <c r="M267" s="15">
        <v>5.166237359E7</v>
      </c>
    </row>
    <row r="268" ht="13.5" customHeight="1" outlineLevel="3">
      <c r="A268" s="7" t="s">
        <v>307</v>
      </c>
      <c r="B268" s="7" t="s">
        <v>308</v>
      </c>
      <c r="C268" s="7" t="s">
        <v>86</v>
      </c>
      <c r="D268" s="7" t="s">
        <v>66</v>
      </c>
      <c r="E268" s="7" t="s">
        <v>19</v>
      </c>
      <c r="F268" s="7" t="s">
        <v>20</v>
      </c>
      <c r="G268" s="7" t="s">
        <v>319</v>
      </c>
      <c r="H268" s="14">
        <v>45873.0</v>
      </c>
      <c r="I268" s="14">
        <v>45933.0</v>
      </c>
      <c r="J268" s="8">
        <v>-174.0</v>
      </c>
      <c r="K268" s="15">
        <v>8683444.0</v>
      </c>
      <c r="L268" s="15">
        <v>8683444.0</v>
      </c>
      <c r="M268" s="15">
        <v>6.034581759E7</v>
      </c>
    </row>
    <row r="269" ht="13.5" customHeight="1" outlineLevel="3">
      <c r="A269" s="7" t="s">
        <v>307</v>
      </c>
      <c r="B269" s="7" t="s">
        <v>308</v>
      </c>
      <c r="C269" s="7" t="s">
        <v>86</v>
      </c>
      <c r="D269" s="7" t="s">
        <v>66</v>
      </c>
      <c r="E269" s="7" t="s">
        <v>19</v>
      </c>
      <c r="F269" s="7" t="s">
        <v>20</v>
      </c>
      <c r="G269" s="7" t="s">
        <v>320</v>
      </c>
      <c r="H269" s="14">
        <v>45873.0</v>
      </c>
      <c r="I269" s="14">
        <v>45933.0</v>
      </c>
      <c r="J269" s="8">
        <v>-174.0</v>
      </c>
      <c r="K269" s="15">
        <v>840203.82</v>
      </c>
      <c r="L269" s="15">
        <v>840203.82</v>
      </c>
      <c r="M269" s="15">
        <v>6.118602141E7</v>
      </c>
    </row>
    <row r="270" ht="13.5" customHeight="1" outlineLevel="3">
      <c r="A270" s="7" t="s">
        <v>307</v>
      </c>
      <c r="B270" s="7" t="s">
        <v>308</v>
      </c>
      <c r="C270" s="7" t="s">
        <v>86</v>
      </c>
      <c r="D270" s="7" t="s">
        <v>66</v>
      </c>
      <c r="E270" s="7" t="s">
        <v>19</v>
      </c>
      <c r="F270" s="7" t="s">
        <v>20</v>
      </c>
      <c r="G270" s="7" t="s">
        <v>321</v>
      </c>
      <c r="H270" s="14">
        <v>45873.0</v>
      </c>
      <c r="I270" s="14">
        <v>45933.0</v>
      </c>
      <c r="J270" s="8">
        <v>-174.0</v>
      </c>
      <c r="K270" s="15">
        <v>8839941.94</v>
      </c>
      <c r="L270" s="15">
        <v>8839941.94</v>
      </c>
      <c r="M270" s="15">
        <v>7.002596335E7</v>
      </c>
    </row>
    <row r="271" ht="13.5" customHeight="1" outlineLevel="3">
      <c r="A271" s="7" t="s">
        <v>307</v>
      </c>
      <c r="B271" s="7" t="s">
        <v>308</v>
      </c>
      <c r="C271" s="7" t="s">
        <v>86</v>
      </c>
      <c r="D271" s="7" t="s">
        <v>66</v>
      </c>
      <c r="E271" s="7" t="s">
        <v>19</v>
      </c>
      <c r="F271" s="7" t="s">
        <v>20</v>
      </c>
      <c r="G271" s="7" t="s">
        <v>322</v>
      </c>
      <c r="H271" s="14">
        <v>45873.0</v>
      </c>
      <c r="I271" s="14">
        <v>45933.0</v>
      </c>
      <c r="J271" s="8">
        <v>-174.0</v>
      </c>
      <c r="K271" s="15">
        <v>1.519817992E7</v>
      </c>
      <c r="L271" s="15">
        <v>1.519817992E7</v>
      </c>
      <c r="M271" s="15">
        <v>8.522414327E7</v>
      </c>
    </row>
    <row r="272" ht="13.5" customHeight="1" outlineLevel="3">
      <c r="A272" s="7" t="s">
        <v>307</v>
      </c>
      <c r="B272" s="7" t="s">
        <v>308</v>
      </c>
      <c r="C272" s="7" t="s">
        <v>86</v>
      </c>
      <c r="D272" s="7" t="s">
        <v>66</v>
      </c>
      <c r="E272" s="7" t="s">
        <v>19</v>
      </c>
      <c r="F272" s="7" t="s">
        <v>20</v>
      </c>
      <c r="G272" s="7" t="s">
        <v>323</v>
      </c>
      <c r="H272" s="14">
        <v>45904.0</v>
      </c>
      <c r="I272" s="14">
        <v>45964.0</v>
      </c>
      <c r="J272" s="8">
        <v>-144.0</v>
      </c>
      <c r="K272" s="15">
        <v>515162.9</v>
      </c>
      <c r="L272" s="15">
        <v>515162.9</v>
      </c>
      <c r="M272" s="15">
        <v>8.573930617E7</v>
      </c>
    </row>
    <row r="273" ht="13.5" customHeight="1" outlineLevel="3">
      <c r="A273" s="7" t="s">
        <v>307</v>
      </c>
      <c r="B273" s="7" t="s">
        <v>308</v>
      </c>
      <c r="C273" s="7" t="s">
        <v>86</v>
      </c>
      <c r="D273" s="7" t="s">
        <v>66</v>
      </c>
      <c r="E273" s="7" t="s">
        <v>19</v>
      </c>
      <c r="F273" s="7" t="s">
        <v>20</v>
      </c>
      <c r="G273" s="7" t="s">
        <v>324</v>
      </c>
      <c r="H273" s="14">
        <v>45904.0</v>
      </c>
      <c r="I273" s="14">
        <v>45964.0</v>
      </c>
      <c r="J273" s="8">
        <v>-144.0</v>
      </c>
      <c r="K273" s="15">
        <v>3388606.37</v>
      </c>
      <c r="L273" s="15">
        <v>3388606.37</v>
      </c>
      <c r="M273" s="15">
        <v>8.912791254E7</v>
      </c>
    </row>
    <row r="274" ht="13.5" customHeight="1" outlineLevel="3">
      <c r="A274" s="7" t="s">
        <v>307</v>
      </c>
      <c r="B274" s="7" t="s">
        <v>308</v>
      </c>
      <c r="C274" s="7" t="s">
        <v>86</v>
      </c>
      <c r="D274" s="7" t="s">
        <v>66</v>
      </c>
      <c r="E274" s="7" t="s">
        <v>19</v>
      </c>
      <c r="F274" s="7" t="s">
        <v>20</v>
      </c>
      <c r="G274" s="7" t="s">
        <v>325</v>
      </c>
      <c r="H274" s="14">
        <v>45904.0</v>
      </c>
      <c r="I274" s="14">
        <v>45964.0</v>
      </c>
      <c r="J274" s="8">
        <v>-144.0</v>
      </c>
      <c r="K274" s="15">
        <v>814451.5</v>
      </c>
      <c r="L274" s="15">
        <v>814451.5</v>
      </c>
      <c r="M274" s="15">
        <v>8.994236404E7</v>
      </c>
    </row>
    <row r="275" ht="13.5" customHeight="1" outlineLevel="3">
      <c r="A275" s="7" t="s">
        <v>307</v>
      </c>
      <c r="B275" s="7" t="s">
        <v>308</v>
      </c>
      <c r="C275" s="7" t="s">
        <v>86</v>
      </c>
      <c r="D275" s="7" t="s">
        <v>66</v>
      </c>
      <c r="E275" s="7" t="s">
        <v>19</v>
      </c>
      <c r="F275" s="7" t="s">
        <v>20</v>
      </c>
      <c r="G275" s="7" t="s">
        <v>326</v>
      </c>
      <c r="H275" s="14">
        <v>45915.0</v>
      </c>
      <c r="I275" s="14">
        <v>45975.0</v>
      </c>
      <c r="J275" s="8">
        <v>-133.0</v>
      </c>
      <c r="K275" s="15">
        <v>1.33975E7</v>
      </c>
      <c r="L275" s="15">
        <v>1.33975E7</v>
      </c>
      <c r="M275" s="15">
        <v>1.0333986404E8</v>
      </c>
    </row>
    <row r="276" ht="13.5" customHeight="1" outlineLevel="3">
      <c r="A276" s="7" t="s">
        <v>307</v>
      </c>
      <c r="B276" s="7" t="s">
        <v>308</v>
      </c>
      <c r="C276" s="7" t="s">
        <v>86</v>
      </c>
      <c r="D276" s="7" t="s">
        <v>66</v>
      </c>
      <c r="E276" s="7" t="s">
        <v>19</v>
      </c>
      <c r="F276" s="7" t="s">
        <v>20</v>
      </c>
      <c r="G276" s="7" t="s">
        <v>327</v>
      </c>
      <c r="H276" s="14">
        <v>45917.0</v>
      </c>
      <c r="I276" s="14">
        <v>45977.0</v>
      </c>
      <c r="J276" s="8">
        <v>-131.0</v>
      </c>
      <c r="K276" s="15">
        <v>802731.6</v>
      </c>
      <c r="L276" s="15">
        <v>802731.6</v>
      </c>
      <c r="M276" s="15">
        <v>1.0414259564E8</v>
      </c>
    </row>
    <row r="277" ht="13.5" customHeight="1" outlineLevel="3">
      <c r="A277" s="7" t="s">
        <v>307</v>
      </c>
      <c r="B277" s="7" t="s">
        <v>308</v>
      </c>
      <c r="C277" s="7" t="s">
        <v>86</v>
      </c>
      <c r="D277" s="7" t="s">
        <v>66</v>
      </c>
      <c r="E277" s="7" t="s">
        <v>19</v>
      </c>
      <c r="F277" s="7" t="s">
        <v>20</v>
      </c>
      <c r="G277" s="7" t="s">
        <v>328</v>
      </c>
      <c r="H277" s="14">
        <v>45919.0</v>
      </c>
      <c r="I277" s="14">
        <v>45979.0</v>
      </c>
      <c r="J277" s="8">
        <v>-129.0</v>
      </c>
      <c r="K277" s="15">
        <v>778837.45</v>
      </c>
      <c r="L277" s="15">
        <v>778837.45</v>
      </c>
      <c r="M277" s="15">
        <v>1.0492143309E8</v>
      </c>
    </row>
    <row r="278" ht="13.5" customHeight="1" outlineLevel="3">
      <c r="A278" s="7" t="s">
        <v>307</v>
      </c>
      <c r="B278" s="7" t="s">
        <v>308</v>
      </c>
      <c r="C278" s="7" t="s">
        <v>86</v>
      </c>
      <c r="D278" s="7" t="s">
        <v>66</v>
      </c>
      <c r="E278" s="7" t="s">
        <v>19</v>
      </c>
      <c r="F278" s="7" t="s">
        <v>20</v>
      </c>
      <c r="G278" s="7" t="s">
        <v>329</v>
      </c>
      <c r="H278" s="14">
        <v>45919.0</v>
      </c>
      <c r="I278" s="14">
        <v>45979.0</v>
      </c>
      <c r="J278" s="8">
        <v>-129.0</v>
      </c>
      <c r="K278" s="15">
        <v>778837.45</v>
      </c>
      <c r="L278" s="15">
        <v>778837.45</v>
      </c>
      <c r="M278" s="15">
        <v>1.0570027054E8</v>
      </c>
    </row>
    <row r="279" ht="13.5" customHeight="1" outlineLevel="3">
      <c r="A279" s="7" t="s">
        <v>307</v>
      </c>
      <c r="B279" s="7" t="s">
        <v>308</v>
      </c>
      <c r="C279" s="7" t="s">
        <v>86</v>
      </c>
      <c r="D279" s="7" t="s">
        <v>66</v>
      </c>
      <c r="E279" s="7" t="s">
        <v>19</v>
      </c>
      <c r="F279" s="7" t="s">
        <v>20</v>
      </c>
      <c r="G279" s="7" t="s">
        <v>330</v>
      </c>
      <c r="H279" s="14">
        <v>45925.0</v>
      </c>
      <c r="I279" s="14">
        <v>45985.0</v>
      </c>
      <c r="J279" s="8">
        <v>-123.0</v>
      </c>
      <c r="K279" s="15">
        <v>1356502.7</v>
      </c>
      <c r="L279" s="15">
        <v>1356502.7</v>
      </c>
      <c r="M279" s="15">
        <v>1.0705677324E8</v>
      </c>
    </row>
    <row r="280" ht="13.5" customHeight="1" outlineLevel="3">
      <c r="A280" s="7" t="s">
        <v>307</v>
      </c>
      <c r="B280" s="7" t="s">
        <v>308</v>
      </c>
      <c r="C280" s="7" t="s">
        <v>86</v>
      </c>
      <c r="D280" s="7" t="s">
        <v>66</v>
      </c>
      <c r="E280" s="7" t="s">
        <v>19</v>
      </c>
      <c r="F280" s="7" t="s">
        <v>20</v>
      </c>
      <c r="G280" s="7" t="s">
        <v>331</v>
      </c>
      <c r="H280" s="14">
        <v>45925.0</v>
      </c>
      <c r="I280" s="14">
        <v>45985.0</v>
      </c>
      <c r="J280" s="8">
        <v>-123.0</v>
      </c>
      <c r="K280" s="15">
        <v>379425.55</v>
      </c>
      <c r="L280" s="15">
        <v>379425.55</v>
      </c>
      <c r="M280" s="15">
        <v>1.0743619879E8</v>
      </c>
    </row>
    <row r="281" ht="13.5" customHeight="1" outlineLevel="3">
      <c r="A281" s="7" t="s">
        <v>307</v>
      </c>
      <c r="B281" s="7" t="s">
        <v>308</v>
      </c>
      <c r="C281" s="7" t="s">
        <v>86</v>
      </c>
      <c r="D281" s="7" t="s">
        <v>66</v>
      </c>
      <c r="E281" s="7" t="s">
        <v>19</v>
      </c>
      <c r="F281" s="7" t="s">
        <v>20</v>
      </c>
      <c r="G281" s="7" t="s">
        <v>332</v>
      </c>
      <c r="H281" s="14">
        <v>45925.0</v>
      </c>
      <c r="I281" s="14">
        <v>45985.0</v>
      </c>
      <c r="J281" s="8">
        <v>-123.0</v>
      </c>
      <c r="K281" s="15">
        <v>2528521.82</v>
      </c>
      <c r="L281" s="15">
        <v>2528521.82</v>
      </c>
      <c r="M281" s="15">
        <v>1.0996472061E8</v>
      </c>
    </row>
    <row r="282" ht="13.5" customHeight="1" outlineLevel="3">
      <c r="A282" s="7" t="s">
        <v>307</v>
      </c>
      <c r="B282" s="7" t="s">
        <v>308</v>
      </c>
      <c r="C282" s="7" t="s">
        <v>45</v>
      </c>
      <c r="D282" s="7" t="s">
        <v>66</v>
      </c>
      <c r="E282" s="7" t="s">
        <v>19</v>
      </c>
      <c r="F282" s="7" t="s">
        <v>20</v>
      </c>
      <c r="G282" s="7" t="s">
        <v>333</v>
      </c>
      <c r="H282" s="14">
        <v>46030.0</v>
      </c>
      <c r="I282" s="14">
        <v>46030.0</v>
      </c>
      <c r="J282" s="8">
        <v>-79.0</v>
      </c>
      <c r="K282" s="15">
        <v>-112524.71</v>
      </c>
      <c r="L282" s="15">
        <v>-112524.71</v>
      </c>
      <c r="M282" s="15">
        <v>1.098521959E8</v>
      </c>
    </row>
    <row r="283" ht="13.5" customHeight="1" outlineLevel="3">
      <c r="A283" s="7" t="s">
        <v>307</v>
      </c>
      <c r="B283" s="7" t="s">
        <v>308</v>
      </c>
      <c r="C283" s="7" t="s">
        <v>86</v>
      </c>
      <c r="D283" s="7" t="s">
        <v>66</v>
      </c>
      <c r="E283" s="7" t="s">
        <v>19</v>
      </c>
      <c r="F283" s="7" t="s">
        <v>20</v>
      </c>
      <c r="G283" s="7" t="s">
        <v>334</v>
      </c>
      <c r="H283" s="14">
        <v>46006.0</v>
      </c>
      <c r="I283" s="14">
        <v>46067.0</v>
      </c>
      <c r="J283" s="8">
        <v>-43.0</v>
      </c>
      <c r="K283" s="15">
        <v>6909474.02</v>
      </c>
      <c r="L283" s="15">
        <v>6909474.02</v>
      </c>
      <c r="M283" s="15">
        <v>1.1676166992E8</v>
      </c>
    </row>
    <row r="284" ht="13.5" customHeight="1" outlineLevel="3">
      <c r="A284" s="7" t="s">
        <v>307</v>
      </c>
      <c r="B284" s="7" t="s">
        <v>308</v>
      </c>
      <c r="C284" s="7" t="s">
        <v>45</v>
      </c>
      <c r="D284" s="7" t="s">
        <v>66</v>
      </c>
      <c r="E284" s="7" t="s">
        <v>19</v>
      </c>
      <c r="F284" s="7" t="s">
        <v>20</v>
      </c>
      <c r="G284" s="7" t="s">
        <v>335</v>
      </c>
      <c r="H284" s="14">
        <v>46069.0</v>
      </c>
      <c r="I284" s="14">
        <v>46069.0</v>
      </c>
      <c r="J284" s="8">
        <v>-41.0</v>
      </c>
      <c r="K284" s="15">
        <v>-177309.0</v>
      </c>
      <c r="L284" s="15">
        <v>-177309.0</v>
      </c>
      <c r="M284" s="15">
        <v>1.1658436092E8</v>
      </c>
    </row>
    <row r="285" ht="13.5" customHeight="1" outlineLevel="2">
      <c r="A285" s="7"/>
      <c r="B285" s="7"/>
      <c r="C285" s="7"/>
      <c r="D285" s="7"/>
      <c r="E285" s="16" t="s">
        <v>22</v>
      </c>
      <c r="F285" s="7"/>
      <c r="G285" s="7"/>
      <c r="H285" s="14"/>
      <c r="I285" s="14"/>
      <c r="J285" s="8"/>
      <c r="K285" s="15">
        <f t="shared" ref="K285:L285" si="75">SUBTOTAL(9,K258:K284)</f>
        <v>116584360.9</v>
      </c>
      <c r="L285" s="15">
        <f t="shared" si="75"/>
        <v>116584360.9</v>
      </c>
      <c r="M285" s="15"/>
    </row>
    <row r="286" ht="13.5" customHeight="1" outlineLevel="1">
      <c r="A286" s="16" t="s">
        <v>336</v>
      </c>
      <c r="B286" s="7"/>
      <c r="C286" s="7"/>
      <c r="D286" s="7"/>
      <c r="E286" s="7"/>
      <c r="F286" s="7"/>
      <c r="G286" s="7"/>
      <c r="H286" s="14"/>
      <c r="I286" s="14"/>
      <c r="J286" s="8"/>
      <c r="K286" s="15">
        <f t="shared" ref="K286:L286" si="76">SUBTOTAL(9,K258:K284)</f>
        <v>116584360.9</v>
      </c>
      <c r="L286" s="15">
        <f t="shared" si="76"/>
        <v>116584360.9</v>
      </c>
      <c r="M286" s="15"/>
    </row>
    <row r="287" ht="13.5" customHeight="1" outlineLevel="3">
      <c r="A287" s="7" t="s">
        <v>337</v>
      </c>
      <c r="B287" s="7" t="s">
        <v>228</v>
      </c>
      <c r="C287" s="7" t="s">
        <v>26</v>
      </c>
      <c r="D287" s="7" t="s">
        <v>27</v>
      </c>
      <c r="E287" s="7" t="s">
        <v>19</v>
      </c>
      <c r="F287" s="7" t="s">
        <v>20</v>
      </c>
      <c r="G287" s="7" t="s">
        <v>338</v>
      </c>
      <c r="H287" s="14">
        <v>46083.0</v>
      </c>
      <c r="I287" s="14">
        <v>46114.0</v>
      </c>
      <c r="J287" s="8">
        <v>5.0</v>
      </c>
      <c r="K287" s="15">
        <v>2.621892E7</v>
      </c>
      <c r="L287" s="15">
        <v>0.0</v>
      </c>
      <c r="M287" s="15">
        <v>0.0</v>
      </c>
    </row>
    <row r="288" ht="13.5" customHeight="1" outlineLevel="3">
      <c r="A288" s="7" t="s">
        <v>337</v>
      </c>
      <c r="B288" s="7" t="s">
        <v>228</v>
      </c>
      <c r="C288" s="7" t="s">
        <v>26</v>
      </c>
      <c r="D288" s="7" t="s">
        <v>27</v>
      </c>
      <c r="E288" s="7" t="s">
        <v>19</v>
      </c>
      <c r="F288" s="7" t="s">
        <v>20</v>
      </c>
      <c r="G288" s="7" t="s">
        <v>339</v>
      </c>
      <c r="H288" s="14">
        <v>46106.0</v>
      </c>
      <c r="I288" s="14">
        <v>46137.0</v>
      </c>
      <c r="J288" s="8">
        <v>28.0</v>
      </c>
      <c r="K288" s="15">
        <v>2.583438E7</v>
      </c>
      <c r="L288" s="15">
        <v>0.0</v>
      </c>
      <c r="M288" s="15">
        <v>0.0</v>
      </c>
    </row>
    <row r="289" ht="13.5" customHeight="1" outlineLevel="2">
      <c r="A289" s="7"/>
      <c r="B289" s="7"/>
      <c r="C289" s="7"/>
      <c r="D289" s="7"/>
      <c r="E289" s="16" t="s">
        <v>22</v>
      </c>
      <c r="F289" s="7"/>
      <c r="G289" s="7"/>
      <c r="H289" s="14"/>
      <c r="I289" s="14"/>
      <c r="J289" s="8"/>
      <c r="K289" s="15">
        <f t="shared" ref="K289:L289" si="77">SUBTOTAL(9,K287:K288)</f>
        <v>52053300</v>
      </c>
      <c r="L289" s="15">
        <f t="shared" si="77"/>
        <v>0</v>
      </c>
      <c r="M289" s="15"/>
    </row>
    <row r="290" ht="13.5" customHeight="1" outlineLevel="1">
      <c r="A290" s="16" t="s">
        <v>340</v>
      </c>
      <c r="B290" s="7"/>
      <c r="C290" s="7"/>
      <c r="D290" s="7"/>
      <c r="E290" s="7"/>
      <c r="F290" s="7"/>
      <c r="G290" s="7"/>
      <c r="H290" s="14"/>
      <c r="I290" s="14"/>
      <c r="J290" s="8"/>
      <c r="K290" s="15">
        <f t="shared" ref="K290:L290" si="78">SUBTOTAL(9,K287:K288)</f>
        <v>52053300</v>
      </c>
      <c r="L290" s="15">
        <f t="shared" si="78"/>
        <v>0</v>
      </c>
      <c r="M290" s="15"/>
    </row>
    <row r="291" ht="13.5" customHeight="1" outlineLevel="3">
      <c r="A291" s="7" t="s">
        <v>341</v>
      </c>
      <c r="B291" s="7" t="s">
        <v>342</v>
      </c>
      <c r="C291" s="7" t="s">
        <v>26</v>
      </c>
      <c r="D291" s="7" t="s">
        <v>27</v>
      </c>
      <c r="E291" s="7" t="s">
        <v>19</v>
      </c>
      <c r="F291" s="7" t="s">
        <v>20</v>
      </c>
      <c r="G291" s="7" t="s">
        <v>343</v>
      </c>
      <c r="H291" s="14">
        <v>46086.0</v>
      </c>
      <c r="I291" s="14">
        <v>46131.0</v>
      </c>
      <c r="J291" s="8">
        <v>22.0</v>
      </c>
      <c r="K291" s="15">
        <v>9265245.0</v>
      </c>
      <c r="L291" s="15">
        <v>0.0</v>
      </c>
      <c r="M291" s="15">
        <v>0.0</v>
      </c>
    </row>
    <row r="292" ht="13.5" customHeight="1" outlineLevel="3">
      <c r="A292" s="7" t="s">
        <v>341</v>
      </c>
      <c r="B292" s="7" t="s">
        <v>342</v>
      </c>
      <c r="C292" s="7" t="s">
        <v>26</v>
      </c>
      <c r="D292" s="7" t="s">
        <v>27</v>
      </c>
      <c r="E292" s="7" t="s">
        <v>19</v>
      </c>
      <c r="F292" s="7" t="s">
        <v>20</v>
      </c>
      <c r="G292" s="7" t="s">
        <v>344</v>
      </c>
      <c r="H292" s="14">
        <v>46097.0</v>
      </c>
      <c r="I292" s="14">
        <v>46142.0</v>
      </c>
      <c r="J292" s="8">
        <v>33.0</v>
      </c>
      <c r="K292" s="15">
        <v>3344773.25</v>
      </c>
      <c r="L292" s="15">
        <v>0.0</v>
      </c>
      <c r="M292" s="15">
        <v>0.0</v>
      </c>
    </row>
    <row r="293" ht="13.5" customHeight="1" outlineLevel="3">
      <c r="A293" s="7" t="s">
        <v>341</v>
      </c>
      <c r="B293" s="7" t="s">
        <v>342</v>
      </c>
      <c r="C293" s="7" t="s">
        <v>26</v>
      </c>
      <c r="D293" s="7" t="s">
        <v>27</v>
      </c>
      <c r="E293" s="7" t="s">
        <v>19</v>
      </c>
      <c r="F293" s="7" t="s">
        <v>20</v>
      </c>
      <c r="G293" s="7" t="s">
        <v>345</v>
      </c>
      <c r="H293" s="14">
        <v>46106.0</v>
      </c>
      <c r="I293" s="14">
        <v>46151.0</v>
      </c>
      <c r="J293" s="8">
        <v>42.0</v>
      </c>
      <c r="K293" s="15">
        <v>1.49428725E7</v>
      </c>
      <c r="L293" s="15">
        <v>0.0</v>
      </c>
      <c r="M293" s="15">
        <v>0.0</v>
      </c>
    </row>
    <row r="294" ht="13.5" customHeight="1" outlineLevel="2">
      <c r="A294" s="7"/>
      <c r="B294" s="7"/>
      <c r="C294" s="7"/>
      <c r="D294" s="7"/>
      <c r="E294" s="16" t="s">
        <v>22</v>
      </c>
      <c r="F294" s="7"/>
      <c r="G294" s="7"/>
      <c r="H294" s="14"/>
      <c r="I294" s="14"/>
      <c r="J294" s="8"/>
      <c r="K294" s="15">
        <f t="shared" ref="K294:L294" si="79">SUBTOTAL(9,K291:K293)</f>
        <v>27552890.75</v>
      </c>
      <c r="L294" s="15">
        <f t="shared" si="79"/>
        <v>0</v>
      </c>
      <c r="M294" s="15"/>
    </row>
    <row r="295" ht="13.5" customHeight="1" outlineLevel="1">
      <c r="A295" s="16" t="s">
        <v>346</v>
      </c>
      <c r="B295" s="7"/>
      <c r="C295" s="7"/>
      <c r="D295" s="7"/>
      <c r="E295" s="7"/>
      <c r="F295" s="7"/>
      <c r="G295" s="7"/>
      <c r="H295" s="14"/>
      <c r="I295" s="14"/>
      <c r="J295" s="8"/>
      <c r="K295" s="15">
        <f t="shared" ref="K295:L295" si="80">SUBTOTAL(9,K291:K293)</f>
        <v>27552890.75</v>
      </c>
      <c r="L295" s="15">
        <f t="shared" si="80"/>
        <v>0</v>
      </c>
      <c r="M295" s="15"/>
    </row>
    <row r="296" ht="13.5" customHeight="1" outlineLevel="3">
      <c r="A296" s="7" t="s">
        <v>347</v>
      </c>
      <c r="B296" s="7" t="s">
        <v>348</v>
      </c>
      <c r="C296" s="7" t="s">
        <v>42</v>
      </c>
      <c r="D296" s="7" t="s">
        <v>43</v>
      </c>
      <c r="E296" s="7" t="s">
        <v>19</v>
      </c>
      <c r="F296" s="7" t="s">
        <v>20</v>
      </c>
      <c r="G296" s="7" t="s">
        <v>349</v>
      </c>
      <c r="H296" s="14">
        <v>46085.0</v>
      </c>
      <c r="I296" s="14">
        <v>46145.0</v>
      </c>
      <c r="J296" s="8">
        <v>36.0</v>
      </c>
      <c r="K296" s="15">
        <v>1176859.7</v>
      </c>
      <c r="L296" s="15">
        <v>0.0</v>
      </c>
      <c r="M296" s="15">
        <v>0.0</v>
      </c>
    </row>
    <row r="297" ht="13.5" customHeight="1" outlineLevel="2">
      <c r="A297" s="7"/>
      <c r="B297" s="7"/>
      <c r="C297" s="7"/>
      <c r="D297" s="7"/>
      <c r="E297" s="16" t="s">
        <v>22</v>
      </c>
      <c r="F297" s="7"/>
      <c r="G297" s="7"/>
      <c r="H297" s="14"/>
      <c r="I297" s="14"/>
      <c r="J297" s="8"/>
      <c r="K297" s="15">
        <f t="shared" ref="K297:L297" si="81">SUBTOTAL(9,K296)</f>
        <v>1176859.7</v>
      </c>
      <c r="L297" s="15">
        <f t="shared" si="81"/>
        <v>0</v>
      </c>
      <c r="M297" s="15"/>
    </row>
    <row r="298" ht="13.5" customHeight="1" outlineLevel="1">
      <c r="A298" s="16" t="s">
        <v>350</v>
      </c>
      <c r="B298" s="7"/>
      <c r="C298" s="7"/>
      <c r="D298" s="7"/>
      <c r="E298" s="7"/>
      <c r="F298" s="7"/>
      <c r="G298" s="7"/>
      <c r="H298" s="14"/>
      <c r="I298" s="14"/>
      <c r="J298" s="8"/>
      <c r="K298" s="15">
        <f t="shared" ref="K298:L298" si="82">SUBTOTAL(9,K296)</f>
        <v>1176859.7</v>
      </c>
      <c r="L298" s="15">
        <f t="shared" si="82"/>
        <v>0</v>
      </c>
      <c r="M298" s="15"/>
    </row>
    <row r="299" ht="13.5" customHeight="1" outlineLevel="3">
      <c r="A299" s="7" t="s">
        <v>351</v>
      </c>
      <c r="B299" s="7" t="s">
        <v>25</v>
      </c>
      <c r="C299" s="7" t="s">
        <v>118</v>
      </c>
      <c r="D299" s="7" t="s">
        <v>27</v>
      </c>
      <c r="E299" s="7" t="s">
        <v>19</v>
      </c>
      <c r="F299" s="7" t="s">
        <v>20</v>
      </c>
      <c r="G299" s="7" t="s">
        <v>352</v>
      </c>
      <c r="H299" s="14">
        <v>46071.0</v>
      </c>
      <c r="I299" s="14">
        <v>46129.0</v>
      </c>
      <c r="J299" s="8">
        <v>20.0</v>
      </c>
      <c r="K299" s="15">
        <v>975263.52</v>
      </c>
      <c r="L299" s="15">
        <v>0.0</v>
      </c>
      <c r="M299" s="15">
        <v>0.0</v>
      </c>
    </row>
    <row r="300" ht="13.5" customHeight="1" outlineLevel="2">
      <c r="A300" s="7"/>
      <c r="B300" s="7"/>
      <c r="C300" s="7"/>
      <c r="D300" s="7"/>
      <c r="E300" s="16" t="s">
        <v>22</v>
      </c>
      <c r="F300" s="7"/>
      <c r="G300" s="7"/>
      <c r="H300" s="14"/>
      <c r="I300" s="14"/>
      <c r="J300" s="8"/>
      <c r="K300" s="15">
        <f t="shared" ref="K300:L300" si="83">SUBTOTAL(9,K299)</f>
        <v>975263.52</v>
      </c>
      <c r="L300" s="15">
        <f t="shared" si="83"/>
        <v>0</v>
      </c>
      <c r="M300" s="15"/>
    </row>
    <row r="301" ht="13.5" customHeight="1" outlineLevel="1">
      <c r="A301" s="16" t="s">
        <v>353</v>
      </c>
      <c r="B301" s="7"/>
      <c r="C301" s="7"/>
      <c r="D301" s="7"/>
      <c r="E301" s="7"/>
      <c r="F301" s="7"/>
      <c r="G301" s="7"/>
      <c r="H301" s="14"/>
      <c r="I301" s="14"/>
      <c r="J301" s="8"/>
      <c r="K301" s="15">
        <f t="shared" ref="K301:L301" si="84">SUBTOTAL(9,K299)</f>
        <v>975263.52</v>
      </c>
      <c r="L301" s="15">
        <f t="shared" si="84"/>
        <v>0</v>
      </c>
      <c r="M301" s="15"/>
    </row>
    <row r="302" ht="13.5" customHeight="1" outlineLevel="3">
      <c r="A302" s="7" t="s">
        <v>354</v>
      </c>
      <c r="B302" s="7" t="s">
        <v>25</v>
      </c>
      <c r="C302" s="7" t="s">
        <v>355</v>
      </c>
      <c r="D302" s="7" t="s">
        <v>356</v>
      </c>
      <c r="E302" s="7" t="s">
        <v>19</v>
      </c>
      <c r="F302" s="7" t="s">
        <v>20</v>
      </c>
      <c r="G302" s="7" t="s">
        <v>357</v>
      </c>
      <c r="H302" s="14">
        <v>42860.0</v>
      </c>
      <c r="I302" s="14">
        <v>42920.0</v>
      </c>
      <c r="J302" s="8">
        <v>-3143.0</v>
      </c>
      <c r="K302" s="15">
        <v>1245122.84</v>
      </c>
      <c r="L302" s="15">
        <v>1245122.84</v>
      </c>
      <c r="M302" s="15">
        <v>1245122.84</v>
      </c>
    </row>
    <row r="303" ht="13.5" customHeight="1" outlineLevel="3">
      <c r="A303" s="7" t="s">
        <v>354</v>
      </c>
      <c r="B303" s="7" t="s">
        <v>25</v>
      </c>
      <c r="C303" s="7" t="s">
        <v>355</v>
      </c>
      <c r="D303" s="7" t="s">
        <v>356</v>
      </c>
      <c r="E303" s="7" t="s">
        <v>19</v>
      </c>
      <c r="F303" s="7" t="s">
        <v>20</v>
      </c>
      <c r="G303" s="7" t="s">
        <v>358</v>
      </c>
      <c r="H303" s="14">
        <v>42866.0</v>
      </c>
      <c r="I303" s="14">
        <v>42926.0</v>
      </c>
      <c r="J303" s="8">
        <v>-3137.0</v>
      </c>
      <c r="K303" s="15">
        <v>238595.0</v>
      </c>
      <c r="L303" s="15">
        <v>238595.0</v>
      </c>
      <c r="M303" s="15">
        <v>1483717.84</v>
      </c>
    </row>
    <row r="304" ht="13.5" customHeight="1" outlineLevel="3">
      <c r="A304" s="7" t="s">
        <v>354</v>
      </c>
      <c r="B304" s="7" t="s">
        <v>25</v>
      </c>
      <c r="C304" s="7" t="s">
        <v>355</v>
      </c>
      <c r="D304" s="7" t="s">
        <v>356</v>
      </c>
      <c r="E304" s="7" t="s">
        <v>19</v>
      </c>
      <c r="F304" s="7" t="s">
        <v>20</v>
      </c>
      <c r="G304" s="7" t="s">
        <v>359</v>
      </c>
      <c r="H304" s="14">
        <v>42870.0</v>
      </c>
      <c r="I304" s="14">
        <v>42930.0</v>
      </c>
      <c r="J304" s="8">
        <v>-3133.0</v>
      </c>
      <c r="K304" s="15">
        <v>1984407.32</v>
      </c>
      <c r="L304" s="15">
        <v>1984407.32</v>
      </c>
      <c r="M304" s="15">
        <v>3468125.16</v>
      </c>
    </row>
    <row r="305" ht="13.5" customHeight="1" outlineLevel="3">
      <c r="A305" s="7" t="s">
        <v>354</v>
      </c>
      <c r="B305" s="7" t="s">
        <v>25</v>
      </c>
      <c r="C305" s="7" t="s">
        <v>355</v>
      </c>
      <c r="D305" s="7" t="s">
        <v>356</v>
      </c>
      <c r="E305" s="7" t="s">
        <v>19</v>
      </c>
      <c r="F305" s="7" t="s">
        <v>20</v>
      </c>
      <c r="G305" s="7" t="s">
        <v>360</v>
      </c>
      <c r="H305" s="14">
        <v>42872.0</v>
      </c>
      <c r="I305" s="14">
        <v>42932.0</v>
      </c>
      <c r="J305" s="8">
        <v>-3131.0</v>
      </c>
      <c r="K305" s="15">
        <v>610470.0</v>
      </c>
      <c r="L305" s="15">
        <v>610470.0</v>
      </c>
      <c r="M305" s="15">
        <v>4078595.16</v>
      </c>
    </row>
    <row r="306" ht="13.5" customHeight="1" outlineLevel="3">
      <c r="A306" s="7" t="s">
        <v>354</v>
      </c>
      <c r="B306" s="7" t="s">
        <v>25</v>
      </c>
      <c r="C306" s="7" t="s">
        <v>355</v>
      </c>
      <c r="D306" s="7" t="s">
        <v>356</v>
      </c>
      <c r="E306" s="7" t="s">
        <v>19</v>
      </c>
      <c r="F306" s="7" t="s">
        <v>20</v>
      </c>
      <c r="G306" s="7" t="s">
        <v>361</v>
      </c>
      <c r="H306" s="14">
        <v>42887.0</v>
      </c>
      <c r="I306" s="14">
        <v>42946.0</v>
      </c>
      <c r="J306" s="8">
        <v>-3117.0</v>
      </c>
      <c r="K306" s="15">
        <v>597796.5</v>
      </c>
      <c r="L306" s="15">
        <v>597796.5</v>
      </c>
      <c r="M306" s="15">
        <v>4676391.66</v>
      </c>
    </row>
    <row r="307" ht="13.5" customHeight="1" outlineLevel="3">
      <c r="A307" s="7" t="s">
        <v>354</v>
      </c>
      <c r="B307" s="7" t="s">
        <v>25</v>
      </c>
      <c r="C307" s="7" t="s">
        <v>355</v>
      </c>
      <c r="D307" s="7" t="s">
        <v>356</v>
      </c>
      <c r="E307" s="7" t="s">
        <v>19</v>
      </c>
      <c r="F307" s="7" t="s">
        <v>20</v>
      </c>
      <c r="G307" s="7" t="s">
        <v>362</v>
      </c>
      <c r="H307" s="14">
        <v>42901.0</v>
      </c>
      <c r="I307" s="14">
        <v>42961.0</v>
      </c>
      <c r="J307" s="8">
        <v>-3103.0</v>
      </c>
      <c r="K307" s="15">
        <v>354144.0</v>
      </c>
      <c r="L307" s="15">
        <v>354144.0</v>
      </c>
      <c r="M307" s="15">
        <v>5030535.66</v>
      </c>
    </row>
    <row r="308" ht="13.5" customHeight="1" outlineLevel="3">
      <c r="A308" s="7" t="s">
        <v>354</v>
      </c>
      <c r="B308" s="7" t="s">
        <v>25</v>
      </c>
      <c r="C308" s="7" t="s">
        <v>355</v>
      </c>
      <c r="D308" s="7" t="s">
        <v>356</v>
      </c>
      <c r="E308" s="7" t="s">
        <v>19</v>
      </c>
      <c r="F308" s="7" t="s">
        <v>20</v>
      </c>
      <c r="G308" s="7" t="s">
        <v>363</v>
      </c>
      <c r="H308" s="14">
        <v>42920.0</v>
      </c>
      <c r="I308" s="14">
        <v>42981.0</v>
      </c>
      <c r="J308" s="8">
        <v>-3084.0</v>
      </c>
      <c r="K308" s="15">
        <v>566440.0</v>
      </c>
      <c r="L308" s="15">
        <v>566440.0</v>
      </c>
      <c r="M308" s="15">
        <v>5596975.66</v>
      </c>
    </row>
    <row r="309" ht="13.5" customHeight="1" outlineLevel="3">
      <c r="A309" s="7" t="s">
        <v>354</v>
      </c>
      <c r="B309" s="7" t="s">
        <v>25</v>
      </c>
      <c r="C309" s="7" t="s">
        <v>355</v>
      </c>
      <c r="D309" s="7" t="s">
        <v>356</v>
      </c>
      <c r="E309" s="7" t="s">
        <v>19</v>
      </c>
      <c r="F309" s="7" t="s">
        <v>20</v>
      </c>
      <c r="G309" s="7" t="s">
        <v>364</v>
      </c>
      <c r="H309" s="14">
        <v>42921.0</v>
      </c>
      <c r="I309" s="14">
        <v>42982.0</v>
      </c>
      <c r="J309" s="8">
        <v>-3083.0</v>
      </c>
      <c r="K309" s="15">
        <v>1867684.26</v>
      </c>
      <c r="L309" s="15">
        <v>1867684.26</v>
      </c>
      <c r="M309" s="15">
        <v>7464659.92</v>
      </c>
    </row>
    <row r="310" ht="13.5" customHeight="1" outlineLevel="3">
      <c r="A310" s="7" t="s">
        <v>354</v>
      </c>
      <c r="B310" s="7" t="s">
        <v>25</v>
      </c>
      <c r="C310" s="7" t="s">
        <v>355</v>
      </c>
      <c r="D310" s="7" t="s">
        <v>356</v>
      </c>
      <c r="E310" s="7" t="s">
        <v>19</v>
      </c>
      <c r="F310" s="7" t="s">
        <v>20</v>
      </c>
      <c r="G310" s="7" t="s">
        <v>365</v>
      </c>
      <c r="H310" s="14">
        <v>42934.0</v>
      </c>
      <c r="I310" s="14">
        <v>42995.0</v>
      </c>
      <c r="J310" s="8">
        <v>-3070.0</v>
      </c>
      <c r="K310" s="15">
        <v>525385.0</v>
      </c>
      <c r="L310" s="15">
        <v>525385.0</v>
      </c>
      <c r="M310" s="15">
        <v>7990044.92</v>
      </c>
    </row>
    <row r="311" ht="13.5" customHeight="1" outlineLevel="2">
      <c r="A311" s="7"/>
      <c r="B311" s="7"/>
      <c r="C311" s="7"/>
      <c r="D311" s="7"/>
      <c r="E311" s="16" t="s">
        <v>22</v>
      </c>
      <c r="F311" s="7"/>
      <c r="G311" s="7"/>
      <c r="H311" s="14"/>
      <c r="I311" s="14"/>
      <c r="J311" s="8"/>
      <c r="K311" s="15">
        <f t="shared" ref="K311:L311" si="85">SUBTOTAL(9,K302:K310)</f>
        <v>7990044.92</v>
      </c>
      <c r="L311" s="15">
        <f t="shared" si="85"/>
        <v>7990044.92</v>
      </c>
      <c r="M311" s="15"/>
    </row>
    <row r="312" ht="13.5" customHeight="1" outlineLevel="1">
      <c r="A312" s="16" t="s">
        <v>366</v>
      </c>
      <c r="B312" s="7"/>
      <c r="C312" s="7"/>
      <c r="D312" s="7"/>
      <c r="E312" s="7"/>
      <c r="F312" s="7"/>
      <c r="G312" s="7"/>
      <c r="H312" s="14"/>
      <c r="I312" s="14"/>
      <c r="J312" s="8"/>
      <c r="K312" s="15">
        <f t="shared" ref="K312:L312" si="86">SUBTOTAL(9,K302:K310)</f>
        <v>7990044.92</v>
      </c>
      <c r="L312" s="15">
        <f t="shared" si="86"/>
        <v>7990044.92</v>
      </c>
      <c r="M312" s="15"/>
    </row>
    <row r="313" ht="13.5" customHeight="1" outlineLevel="3">
      <c r="A313" s="7" t="s">
        <v>367</v>
      </c>
      <c r="B313" s="7" t="s">
        <v>131</v>
      </c>
      <c r="C313" s="7" t="s">
        <v>17</v>
      </c>
      <c r="D313" s="7" t="s">
        <v>66</v>
      </c>
      <c r="E313" s="7" t="s">
        <v>19</v>
      </c>
      <c r="F313" s="7" t="s">
        <v>20</v>
      </c>
      <c r="G313" s="7" t="s">
        <v>368</v>
      </c>
      <c r="H313" s="14">
        <v>44882.0</v>
      </c>
      <c r="I313" s="14">
        <v>44942.0</v>
      </c>
      <c r="J313" s="8">
        <v>-1151.0</v>
      </c>
      <c r="K313" s="15">
        <v>0.0</v>
      </c>
      <c r="L313" s="15">
        <v>0.0</v>
      </c>
      <c r="M313" s="15">
        <v>0.0</v>
      </c>
    </row>
    <row r="314" ht="13.5" customHeight="1" outlineLevel="3">
      <c r="A314" s="7" t="s">
        <v>367</v>
      </c>
      <c r="B314" s="7" t="s">
        <v>131</v>
      </c>
      <c r="C314" s="7" t="s">
        <v>17</v>
      </c>
      <c r="D314" s="7" t="s">
        <v>66</v>
      </c>
      <c r="E314" s="7" t="s">
        <v>19</v>
      </c>
      <c r="F314" s="7" t="s">
        <v>20</v>
      </c>
      <c r="G314" s="7" t="s">
        <v>369</v>
      </c>
      <c r="H314" s="14">
        <v>44883.0</v>
      </c>
      <c r="I314" s="14">
        <v>44943.0</v>
      </c>
      <c r="J314" s="8">
        <v>-1150.0</v>
      </c>
      <c r="K314" s="15">
        <v>0.0</v>
      </c>
      <c r="L314" s="15">
        <v>0.0</v>
      </c>
      <c r="M314" s="15">
        <v>0.0</v>
      </c>
    </row>
    <row r="315" ht="13.5" customHeight="1" outlineLevel="3">
      <c r="A315" s="7" t="s">
        <v>367</v>
      </c>
      <c r="B315" s="7" t="s">
        <v>131</v>
      </c>
      <c r="C315" s="7" t="s">
        <v>17</v>
      </c>
      <c r="D315" s="7" t="s">
        <v>66</v>
      </c>
      <c r="E315" s="7" t="s">
        <v>19</v>
      </c>
      <c r="F315" s="7" t="s">
        <v>20</v>
      </c>
      <c r="G315" s="7" t="s">
        <v>370</v>
      </c>
      <c r="H315" s="14">
        <v>44909.0</v>
      </c>
      <c r="I315" s="14">
        <v>44970.0</v>
      </c>
      <c r="J315" s="8">
        <v>-1124.0</v>
      </c>
      <c r="K315" s="15">
        <v>0.0</v>
      </c>
      <c r="L315" s="15">
        <v>0.0</v>
      </c>
      <c r="M315" s="15">
        <v>0.0</v>
      </c>
    </row>
    <row r="316" ht="13.5" customHeight="1" outlineLevel="3">
      <c r="A316" s="7" t="s">
        <v>367</v>
      </c>
      <c r="B316" s="7" t="s">
        <v>131</v>
      </c>
      <c r="C316" s="7" t="s">
        <v>45</v>
      </c>
      <c r="D316" s="7" t="s">
        <v>66</v>
      </c>
      <c r="E316" s="7" t="s">
        <v>19</v>
      </c>
      <c r="F316" s="7" t="s">
        <v>20</v>
      </c>
      <c r="G316" s="7" t="s">
        <v>371</v>
      </c>
      <c r="H316" s="14">
        <v>45846.0</v>
      </c>
      <c r="I316" s="14">
        <v>45846.0</v>
      </c>
      <c r="J316" s="8">
        <v>-259.0</v>
      </c>
      <c r="K316" s="15">
        <v>0.0</v>
      </c>
      <c r="L316" s="15">
        <v>0.0</v>
      </c>
      <c r="M316" s="15">
        <v>0.0</v>
      </c>
    </row>
    <row r="317" ht="13.5" customHeight="1" outlineLevel="3">
      <c r="A317" s="7" t="s">
        <v>367</v>
      </c>
      <c r="B317" s="7" t="s">
        <v>131</v>
      </c>
      <c r="C317" s="7" t="s">
        <v>45</v>
      </c>
      <c r="D317" s="7" t="s">
        <v>66</v>
      </c>
      <c r="E317" s="7" t="s">
        <v>19</v>
      </c>
      <c r="F317" s="7" t="s">
        <v>20</v>
      </c>
      <c r="G317" s="7" t="s">
        <v>372</v>
      </c>
      <c r="H317" s="14">
        <v>45842.0</v>
      </c>
      <c r="I317" s="14">
        <v>45903.0</v>
      </c>
      <c r="J317" s="8">
        <v>-204.0</v>
      </c>
      <c r="K317" s="15">
        <v>0.0</v>
      </c>
      <c r="L317" s="15">
        <v>0.0</v>
      </c>
      <c r="M317" s="15">
        <v>0.0</v>
      </c>
    </row>
    <row r="318" ht="13.5" customHeight="1" outlineLevel="3">
      <c r="A318" s="7" t="s">
        <v>367</v>
      </c>
      <c r="B318" s="7" t="s">
        <v>131</v>
      </c>
      <c r="C318" s="7" t="s">
        <v>86</v>
      </c>
      <c r="D318" s="7" t="s">
        <v>66</v>
      </c>
      <c r="E318" s="7" t="s">
        <v>19</v>
      </c>
      <c r="F318" s="7" t="s">
        <v>20</v>
      </c>
      <c r="G318" s="7" t="s">
        <v>373</v>
      </c>
      <c r="H318" s="14">
        <v>46048.0</v>
      </c>
      <c r="I318" s="14">
        <v>46106.0</v>
      </c>
      <c r="J318" s="8">
        <v>-2.0</v>
      </c>
      <c r="K318" s="15">
        <v>1.583599643E7</v>
      </c>
      <c r="L318" s="15">
        <v>1.583599643E7</v>
      </c>
      <c r="M318" s="15">
        <v>1.583599643E7</v>
      </c>
    </row>
    <row r="319" ht="13.5" customHeight="1" outlineLevel="3">
      <c r="A319" s="7" t="s">
        <v>367</v>
      </c>
      <c r="B319" s="7" t="s">
        <v>131</v>
      </c>
      <c r="C319" s="7" t="s">
        <v>86</v>
      </c>
      <c r="D319" s="7" t="s">
        <v>66</v>
      </c>
      <c r="E319" s="7" t="s">
        <v>19</v>
      </c>
      <c r="F319" s="7" t="s">
        <v>20</v>
      </c>
      <c r="G319" s="7" t="s">
        <v>374</v>
      </c>
      <c r="H319" s="14">
        <v>46050.0</v>
      </c>
      <c r="I319" s="14">
        <v>46108.0</v>
      </c>
      <c r="J319" s="8">
        <v>0.0</v>
      </c>
      <c r="K319" s="15">
        <v>1.082466156E7</v>
      </c>
      <c r="L319" s="15">
        <v>0.0</v>
      </c>
      <c r="M319" s="15">
        <v>1.583599643E7</v>
      </c>
    </row>
    <row r="320" ht="13.5" customHeight="1" outlineLevel="3">
      <c r="A320" s="7" t="s">
        <v>367</v>
      </c>
      <c r="B320" s="7" t="s">
        <v>131</v>
      </c>
      <c r="C320" s="7" t="s">
        <v>86</v>
      </c>
      <c r="D320" s="7" t="s">
        <v>66</v>
      </c>
      <c r="E320" s="7" t="s">
        <v>19</v>
      </c>
      <c r="F320" s="7" t="s">
        <v>20</v>
      </c>
      <c r="G320" s="7" t="s">
        <v>375</v>
      </c>
      <c r="H320" s="14">
        <v>46057.0</v>
      </c>
      <c r="I320" s="14">
        <v>46115.0</v>
      </c>
      <c r="J320" s="8">
        <v>6.0</v>
      </c>
      <c r="K320" s="15">
        <v>1.062502717E7</v>
      </c>
      <c r="L320" s="15">
        <v>0.0</v>
      </c>
      <c r="M320" s="15">
        <v>1.583599643E7</v>
      </c>
    </row>
    <row r="321" ht="13.5" customHeight="1" outlineLevel="3">
      <c r="A321" s="7" t="s">
        <v>367</v>
      </c>
      <c r="B321" s="7" t="s">
        <v>131</v>
      </c>
      <c r="C321" s="7" t="s">
        <v>86</v>
      </c>
      <c r="D321" s="7" t="s">
        <v>66</v>
      </c>
      <c r="E321" s="7" t="s">
        <v>19</v>
      </c>
      <c r="F321" s="7" t="s">
        <v>20</v>
      </c>
      <c r="G321" s="7" t="s">
        <v>376</v>
      </c>
      <c r="H321" s="14">
        <v>46062.0</v>
      </c>
      <c r="I321" s="14">
        <v>46120.0</v>
      </c>
      <c r="J321" s="8">
        <v>11.0</v>
      </c>
      <c r="K321" s="15">
        <v>9856552.38</v>
      </c>
      <c r="L321" s="15">
        <v>0.0</v>
      </c>
      <c r="M321" s="15">
        <v>1.583599643E7</v>
      </c>
    </row>
    <row r="322" ht="13.5" customHeight="1" outlineLevel="3">
      <c r="A322" s="7" t="s">
        <v>367</v>
      </c>
      <c r="B322" s="7" t="s">
        <v>131</v>
      </c>
      <c r="C322" s="7" t="s">
        <v>86</v>
      </c>
      <c r="D322" s="7" t="s">
        <v>66</v>
      </c>
      <c r="E322" s="7" t="s">
        <v>19</v>
      </c>
      <c r="F322" s="7" t="s">
        <v>20</v>
      </c>
      <c r="G322" s="7" t="s">
        <v>377</v>
      </c>
      <c r="H322" s="14">
        <v>46072.0</v>
      </c>
      <c r="I322" s="14">
        <v>46130.0</v>
      </c>
      <c r="J322" s="8">
        <v>21.0</v>
      </c>
      <c r="K322" s="15">
        <v>6999710.26</v>
      </c>
      <c r="L322" s="15">
        <v>0.0</v>
      </c>
      <c r="M322" s="15">
        <v>1.583599643E7</v>
      </c>
    </row>
    <row r="323" ht="13.5" customHeight="1" outlineLevel="3">
      <c r="A323" s="7" t="s">
        <v>367</v>
      </c>
      <c r="B323" s="7" t="s">
        <v>131</v>
      </c>
      <c r="C323" s="7" t="s">
        <v>86</v>
      </c>
      <c r="D323" s="7" t="s">
        <v>66</v>
      </c>
      <c r="E323" s="7" t="s">
        <v>19</v>
      </c>
      <c r="F323" s="7" t="s">
        <v>20</v>
      </c>
      <c r="G323" s="7" t="s">
        <v>378</v>
      </c>
      <c r="H323" s="14">
        <v>46076.0</v>
      </c>
      <c r="I323" s="14">
        <v>46134.0</v>
      </c>
      <c r="J323" s="8">
        <v>25.0</v>
      </c>
      <c r="K323" s="15">
        <v>3589994.1</v>
      </c>
      <c r="L323" s="15">
        <v>0.0</v>
      </c>
      <c r="M323" s="15">
        <v>1.583599643E7</v>
      </c>
    </row>
    <row r="324" ht="13.5" customHeight="1" outlineLevel="3">
      <c r="A324" s="7" t="s">
        <v>367</v>
      </c>
      <c r="B324" s="7" t="s">
        <v>131</v>
      </c>
      <c r="C324" s="7" t="s">
        <v>86</v>
      </c>
      <c r="D324" s="7" t="s">
        <v>66</v>
      </c>
      <c r="E324" s="7" t="s">
        <v>19</v>
      </c>
      <c r="F324" s="7" t="s">
        <v>20</v>
      </c>
      <c r="G324" s="7" t="s">
        <v>379</v>
      </c>
      <c r="H324" s="14">
        <v>46083.0</v>
      </c>
      <c r="I324" s="14">
        <v>46143.0</v>
      </c>
      <c r="J324" s="8">
        <v>34.0</v>
      </c>
      <c r="K324" s="15">
        <v>2.049995743E7</v>
      </c>
      <c r="L324" s="15">
        <v>0.0</v>
      </c>
      <c r="M324" s="15">
        <v>1.583599643E7</v>
      </c>
    </row>
    <row r="325" ht="13.5" customHeight="1" outlineLevel="3">
      <c r="A325" s="7" t="s">
        <v>367</v>
      </c>
      <c r="B325" s="7" t="s">
        <v>131</v>
      </c>
      <c r="C325" s="7" t="s">
        <v>86</v>
      </c>
      <c r="D325" s="7" t="s">
        <v>66</v>
      </c>
      <c r="E325" s="7" t="s">
        <v>19</v>
      </c>
      <c r="F325" s="7" t="s">
        <v>20</v>
      </c>
      <c r="G325" s="7" t="s">
        <v>380</v>
      </c>
      <c r="H325" s="14">
        <v>46091.0</v>
      </c>
      <c r="I325" s="14">
        <v>46151.0</v>
      </c>
      <c r="J325" s="8">
        <v>42.0</v>
      </c>
      <c r="K325" s="15">
        <v>1553131.4</v>
      </c>
      <c r="L325" s="15">
        <v>0.0</v>
      </c>
      <c r="M325" s="15">
        <v>1.583599643E7</v>
      </c>
    </row>
    <row r="326" ht="13.5" customHeight="1" outlineLevel="3">
      <c r="A326" s="7" t="s">
        <v>367</v>
      </c>
      <c r="B326" s="7" t="s">
        <v>131</v>
      </c>
      <c r="C326" s="7" t="s">
        <v>86</v>
      </c>
      <c r="D326" s="7" t="s">
        <v>66</v>
      </c>
      <c r="E326" s="7" t="s">
        <v>19</v>
      </c>
      <c r="F326" s="7" t="s">
        <v>20</v>
      </c>
      <c r="G326" s="7" t="s">
        <v>381</v>
      </c>
      <c r="H326" s="14">
        <v>46097.0</v>
      </c>
      <c r="I326" s="14">
        <v>46157.0</v>
      </c>
      <c r="J326" s="8">
        <v>48.0</v>
      </c>
      <c r="K326" s="15">
        <v>837262.2</v>
      </c>
      <c r="L326" s="15">
        <v>0.0</v>
      </c>
      <c r="M326" s="15">
        <v>1.583599643E7</v>
      </c>
    </row>
    <row r="327" ht="13.5" customHeight="1" outlineLevel="3">
      <c r="A327" s="7" t="s">
        <v>367</v>
      </c>
      <c r="B327" s="7" t="s">
        <v>131</v>
      </c>
      <c r="C327" s="7" t="s">
        <v>86</v>
      </c>
      <c r="D327" s="7" t="s">
        <v>66</v>
      </c>
      <c r="E327" s="7" t="s">
        <v>19</v>
      </c>
      <c r="F327" s="7" t="s">
        <v>20</v>
      </c>
      <c r="G327" s="7" t="s">
        <v>382</v>
      </c>
      <c r="H327" s="14">
        <v>46099.0</v>
      </c>
      <c r="I327" s="14">
        <v>46159.0</v>
      </c>
      <c r="J327" s="8">
        <v>50.0</v>
      </c>
      <c r="K327" s="15">
        <v>2.647645404E7</v>
      </c>
      <c r="L327" s="15">
        <v>0.0</v>
      </c>
      <c r="M327" s="15">
        <v>1.583599643E7</v>
      </c>
    </row>
    <row r="328" ht="13.5" customHeight="1" outlineLevel="3">
      <c r="A328" s="7" t="s">
        <v>367</v>
      </c>
      <c r="B328" s="7" t="s">
        <v>131</v>
      </c>
      <c r="C328" s="7" t="s">
        <v>86</v>
      </c>
      <c r="D328" s="7" t="s">
        <v>66</v>
      </c>
      <c r="E328" s="7" t="s">
        <v>19</v>
      </c>
      <c r="F328" s="7" t="s">
        <v>20</v>
      </c>
      <c r="G328" s="7" t="s">
        <v>383</v>
      </c>
      <c r="H328" s="14">
        <v>46106.0</v>
      </c>
      <c r="I328" s="14">
        <v>46166.0</v>
      </c>
      <c r="J328" s="8">
        <v>57.0</v>
      </c>
      <c r="K328" s="15">
        <v>1.818196276E7</v>
      </c>
      <c r="L328" s="15">
        <v>0.0</v>
      </c>
      <c r="M328" s="15">
        <v>1.583599643E7</v>
      </c>
    </row>
    <row r="329" ht="13.5" customHeight="1" outlineLevel="2">
      <c r="A329" s="7"/>
      <c r="B329" s="7"/>
      <c r="C329" s="7"/>
      <c r="D329" s="7"/>
      <c r="E329" s="16" t="s">
        <v>22</v>
      </c>
      <c r="F329" s="7"/>
      <c r="G329" s="7"/>
      <c r="H329" s="14"/>
      <c r="I329" s="14"/>
      <c r="J329" s="8"/>
      <c r="K329" s="15">
        <f t="shared" ref="K329:L329" si="87">SUBTOTAL(9,K313:K328)</f>
        <v>125280709.7</v>
      </c>
      <c r="L329" s="15">
        <f t="shared" si="87"/>
        <v>15835996.43</v>
      </c>
      <c r="M329" s="15"/>
    </row>
    <row r="330" ht="13.5" customHeight="1" outlineLevel="1">
      <c r="A330" s="16" t="s">
        <v>384</v>
      </c>
      <c r="B330" s="7"/>
      <c r="C330" s="7"/>
      <c r="D330" s="7"/>
      <c r="E330" s="7"/>
      <c r="F330" s="7"/>
      <c r="G330" s="7"/>
      <c r="H330" s="14"/>
      <c r="I330" s="14"/>
      <c r="J330" s="8"/>
      <c r="K330" s="15">
        <f t="shared" ref="K330:L330" si="88">SUBTOTAL(9,K313:K328)</f>
        <v>125280709.7</v>
      </c>
      <c r="L330" s="15">
        <f t="shared" si="88"/>
        <v>15835996.43</v>
      </c>
      <c r="M330" s="15"/>
    </row>
    <row r="331" ht="13.5" customHeight="1" outlineLevel="3">
      <c r="A331" s="7" t="s">
        <v>385</v>
      </c>
      <c r="B331" s="7" t="s">
        <v>131</v>
      </c>
      <c r="C331" s="7" t="s">
        <v>42</v>
      </c>
      <c r="D331" s="7" t="s">
        <v>43</v>
      </c>
      <c r="E331" s="7" t="s">
        <v>19</v>
      </c>
      <c r="F331" s="7" t="s">
        <v>20</v>
      </c>
      <c r="G331" s="7" t="s">
        <v>386</v>
      </c>
      <c r="H331" s="14">
        <v>46106.0</v>
      </c>
      <c r="I331" s="14">
        <v>46166.0</v>
      </c>
      <c r="J331" s="8">
        <v>57.0</v>
      </c>
      <c r="K331" s="15">
        <v>1.257418401E7</v>
      </c>
      <c r="L331" s="15">
        <v>0.0</v>
      </c>
      <c r="M331" s="15">
        <v>0.0</v>
      </c>
    </row>
    <row r="332" ht="13.5" customHeight="1" outlineLevel="3">
      <c r="A332" s="7" t="s">
        <v>385</v>
      </c>
      <c r="B332" s="7" t="s">
        <v>131</v>
      </c>
      <c r="C332" s="7" t="s">
        <v>42</v>
      </c>
      <c r="D332" s="7" t="s">
        <v>43</v>
      </c>
      <c r="E332" s="7" t="s">
        <v>19</v>
      </c>
      <c r="F332" s="7" t="s">
        <v>20</v>
      </c>
      <c r="G332" s="7" t="s">
        <v>387</v>
      </c>
      <c r="H332" s="14">
        <v>46107.0</v>
      </c>
      <c r="I332" s="14">
        <v>46167.0</v>
      </c>
      <c r="J332" s="8">
        <v>58.0</v>
      </c>
      <c r="K332" s="15">
        <v>2231627.4</v>
      </c>
      <c r="L332" s="15">
        <v>0.0</v>
      </c>
      <c r="M332" s="15">
        <v>0.0</v>
      </c>
    </row>
    <row r="333" ht="13.5" customHeight="1" outlineLevel="2">
      <c r="A333" s="7"/>
      <c r="B333" s="7"/>
      <c r="C333" s="7"/>
      <c r="D333" s="7"/>
      <c r="E333" s="16" t="s">
        <v>22</v>
      </c>
      <c r="F333" s="7"/>
      <c r="G333" s="7"/>
      <c r="H333" s="14"/>
      <c r="I333" s="14"/>
      <c r="J333" s="8"/>
      <c r="K333" s="15">
        <f t="shared" ref="K333:L333" si="89">SUBTOTAL(9,K331:K332)</f>
        <v>14805811.41</v>
      </c>
      <c r="L333" s="15">
        <f t="shared" si="89"/>
        <v>0</v>
      </c>
      <c r="M333" s="15"/>
    </row>
    <row r="334" ht="13.5" customHeight="1" outlineLevel="1">
      <c r="A334" s="16" t="s">
        <v>388</v>
      </c>
      <c r="B334" s="7"/>
      <c r="C334" s="7"/>
      <c r="D334" s="7"/>
      <c r="E334" s="7"/>
      <c r="F334" s="7"/>
      <c r="G334" s="7"/>
      <c r="H334" s="14"/>
      <c r="I334" s="14"/>
      <c r="J334" s="8"/>
      <c r="K334" s="15">
        <f t="shared" ref="K334:L334" si="90">SUBTOTAL(9,K331:K332)</f>
        <v>14805811.41</v>
      </c>
      <c r="L334" s="15">
        <f t="shared" si="90"/>
        <v>0</v>
      </c>
      <c r="M334" s="15"/>
    </row>
    <row r="335" ht="13.5" customHeight="1" outlineLevel="3">
      <c r="A335" s="7" t="s">
        <v>389</v>
      </c>
      <c r="B335" s="7" t="s">
        <v>390</v>
      </c>
      <c r="C335" s="7" t="s">
        <v>197</v>
      </c>
      <c r="D335" s="7" t="s">
        <v>27</v>
      </c>
      <c r="E335" s="7" t="s">
        <v>19</v>
      </c>
      <c r="F335" s="7" t="s">
        <v>20</v>
      </c>
      <c r="G335" s="7" t="s">
        <v>391</v>
      </c>
      <c r="H335" s="14">
        <v>44291.0</v>
      </c>
      <c r="I335" s="14">
        <v>44382.0</v>
      </c>
      <c r="J335" s="8">
        <v>-1702.0</v>
      </c>
      <c r="K335" s="15">
        <v>92656.56</v>
      </c>
      <c r="L335" s="15">
        <v>92656.56</v>
      </c>
      <c r="M335" s="15">
        <v>92656.56</v>
      </c>
    </row>
    <row r="336" ht="13.5" customHeight="1" outlineLevel="3">
      <c r="A336" s="7" t="s">
        <v>389</v>
      </c>
      <c r="B336" s="7" t="s">
        <v>390</v>
      </c>
      <c r="C336" s="7" t="s">
        <v>45</v>
      </c>
      <c r="D336" s="7" t="s">
        <v>27</v>
      </c>
      <c r="E336" s="7" t="s">
        <v>19</v>
      </c>
      <c r="F336" s="7" t="s">
        <v>20</v>
      </c>
      <c r="G336" s="7" t="s">
        <v>392</v>
      </c>
      <c r="H336" s="14">
        <v>44410.0</v>
      </c>
      <c r="I336" s="14">
        <v>44502.0</v>
      </c>
      <c r="J336" s="8">
        <v>-1585.0</v>
      </c>
      <c r="K336" s="15">
        <v>2002910.0</v>
      </c>
      <c r="L336" s="15">
        <v>2002910.0</v>
      </c>
      <c r="M336" s="15">
        <v>2095566.56</v>
      </c>
    </row>
    <row r="337" ht="13.5" customHeight="1" outlineLevel="3">
      <c r="A337" s="7" t="s">
        <v>389</v>
      </c>
      <c r="B337" s="7" t="s">
        <v>390</v>
      </c>
      <c r="C337" s="7" t="s">
        <v>45</v>
      </c>
      <c r="D337" s="7" t="s">
        <v>27</v>
      </c>
      <c r="E337" s="7" t="s">
        <v>19</v>
      </c>
      <c r="F337" s="7" t="s">
        <v>20</v>
      </c>
      <c r="G337" s="7" t="s">
        <v>393</v>
      </c>
      <c r="H337" s="14">
        <v>44413.0</v>
      </c>
      <c r="I337" s="14">
        <v>44505.0</v>
      </c>
      <c r="J337" s="8">
        <v>-1582.0</v>
      </c>
      <c r="K337" s="15">
        <v>2701635.0</v>
      </c>
      <c r="L337" s="15">
        <v>2701635.0</v>
      </c>
      <c r="M337" s="15">
        <v>4797201.56</v>
      </c>
    </row>
    <row r="338" ht="13.5" customHeight="1" outlineLevel="3">
      <c r="A338" s="7" t="s">
        <v>389</v>
      </c>
      <c r="B338" s="7" t="s">
        <v>390</v>
      </c>
      <c r="C338" s="7" t="s">
        <v>45</v>
      </c>
      <c r="D338" s="7" t="s">
        <v>27</v>
      </c>
      <c r="E338" s="7" t="s">
        <v>19</v>
      </c>
      <c r="F338" s="7" t="s">
        <v>20</v>
      </c>
      <c r="G338" s="7" t="s">
        <v>394</v>
      </c>
      <c r="H338" s="14">
        <v>44418.0</v>
      </c>
      <c r="I338" s="14">
        <v>44510.0</v>
      </c>
      <c r="J338" s="8">
        <v>-1577.0</v>
      </c>
      <c r="K338" s="15">
        <v>2044301.5</v>
      </c>
      <c r="L338" s="15">
        <v>2044301.5</v>
      </c>
      <c r="M338" s="15">
        <v>6841503.06</v>
      </c>
    </row>
    <row r="339" ht="13.5" customHeight="1" outlineLevel="3">
      <c r="A339" s="7" t="s">
        <v>389</v>
      </c>
      <c r="B339" s="7" t="s">
        <v>390</v>
      </c>
      <c r="C339" s="7" t="s">
        <v>45</v>
      </c>
      <c r="D339" s="7" t="s">
        <v>27</v>
      </c>
      <c r="E339" s="7" t="s">
        <v>19</v>
      </c>
      <c r="F339" s="7" t="s">
        <v>20</v>
      </c>
      <c r="G339" s="7" t="s">
        <v>395</v>
      </c>
      <c r="H339" s="14">
        <v>44421.0</v>
      </c>
      <c r="I339" s="14">
        <v>44513.0</v>
      </c>
      <c r="J339" s="8">
        <v>-1574.0</v>
      </c>
      <c r="K339" s="15">
        <v>1.7609026E7</v>
      </c>
      <c r="L339" s="15">
        <v>1.7609026E7</v>
      </c>
      <c r="M339" s="15">
        <v>2.445052906E7</v>
      </c>
    </row>
    <row r="340" ht="13.5" customHeight="1" outlineLevel="3">
      <c r="A340" s="7" t="s">
        <v>389</v>
      </c>
      <c r="B340" s="7" t="s">
        <v>390</v>
      </c>
      <c r="C340" s="7" t="s">
        <v>45</v>
      </c>
      <c r="D340" s="7" t="s">
        <v>27</v>
      </c>
      <c r="E340" s="7" t="s">
        <v>19</v>
      </c>
      <c r="F340" s="7" t="s">
        <v>20</v>
      </c>
      <c r="G340" s="7" t="s">
        <v>396</v>
      </c>
      <c r="H340" s="14">
        <v>44426.0</v>
      </c>
      <c r="I340" s="14">
        <v>44518.0</v>
      </c>
      <c r="J340" s="8">
        <v>-1569.0</v>
      </c>
      <c r="K340" s="15">
        <v>4531850.0</v>
      </c>
      <c r="L340" s="15">
        <v>4531850.0</v>
      </c>
      <c r="M340" s="15">
        <v>2.898237906E7</v>
      </c>
    </row>
    <row r="341" ht="13.5" customHeight="1" outlineLevel="3">
      <c r="A341" s="7" t="s">
        <v>389</v>
      </c>
      <c r="B341" s="7" t="s">
        <v>390</v>
      </c>
      <c r="C341" s="7" t="s">
        <v>45</v>
      </c>
      <c r="D341" s="7" t="s">
        <v>27</v>
      </c>
      <c r="E341" s="7" t="s">
        <v>19</v>
      </c>
      <c r="F341" s="7" t="s">
        <v>20</v>
      </c>
      <c r="G341" s="7" t="s">
        <v>397</v>
      </c>
      <c r="H341" s="14">
        <v>44428.0</v>
      </c>
      <c r="I341" s="14">
        <v>44520.0</v>
      </c>
      <c r="J341" s="8">
        <v>-1567.0</v>
      </c>
      <c r="K341" s="15">
        <v>3234331.25</v>
      </c>
      <c r="L341" s="15">
        <v>3234331.25</v>
      </c>
      <c r="M341" s="15">
        <v>3.221671031E7</v>
      </c>
    </row>
    <row r="342" ht="13.5" customHeight="1" outlineLevel="3">
      <c r="A342" s="7" t="s">
        <v>389</v>
      </c>
      <c r="B342" s="7" t="s">
        <v>390</v>
      </c>
      <c r="C342" s="7" t="s">
        <v>197</v>
      </c>
      <c r="D342" s="7" t="s">
        <v>27</v>
      </c>
      <c r="E342" s="7" t="s">
        <v>19</v>
      </c>
      <c r="F342" s="7" t="s">
        <v>20</v>
      </c>
      <c r="G342" s="7" t="s">
        <v>398</v>
      </c>
      <c r="H342" s="14">
        <v>44428.0</v>
      </c>
      <c r="I342" s="14">
        <v>44520.0</v>
      </c>
      <c r="J342" s="8">
        <v>-1567.0</v>
      </c>
      <c r="K342" s="15">
        <v>1781867.5</v>
      </c>
      <c r="L342" s="15">
        <v>1781867.5</v>
      </c>
      <c r="M342" s="15">
        <v>3.399857781E7</v>
      </c>
    </row>
    <row r="343" ht="13.5" customHeight="1" outlineLevel="3">
      <c r="A343" s="7" t="s">
        <v>389</v>
      </c>
      <c r="B343" s="7" t="s">
        <v>390</v>
      </c>
      <c r="C343" s="7" t="s">
        <v>45</v>
      </c>
      <c r="D343" s="7" t="s">
        <v>27</v>
      </c>
      <c r="E343" s="7" t="s">
        <v>19</v>
      </c>
      <c r="F343" s="7" t="s">
        <v>20</v>
      </c>
      <c r="G343" s="7" t="s">
        <v>399</v>
      </c>
      <c r="H343" s="14">
        <v>44431.0</v>
      </c>
      <c r="I343" s="14">
        <v>44523.0</v>
      </c>
      <c r="J343" s="8">
        <v>-1564.0</v>
      </c>
      <c r="K343" s="15">
        <v>3364520.0</v>
      </c>
      <c r="L343" s="15">
        <v>3364520.0</v>
      </c>
      <c r="M343" s="15">
        <v>3.736309781E7</v>
      </c>
    </row>
    <row r="344" ht="13.5" customHeight="1" outlineLevel="3">
      <c r="A344" s="7" t="s">
        <v>389</v>
      </c>
      <c r="B344" s="7" t="s">
        <v>390</v>
      </c>
      <c r="C344" s="7" t="s">
        <v>45</v>
      </c>
      <c r="D344" s="7" t="s">
        <v>27</v>
      </c>
      <c r="E344" s="7" t="s">
        <v>19</v>
      </c>
      <c r="F344" s="7" t="s">
        <v>20</v>
      </c>
      <c r="G344" s="7" t="s">
        <v>400</v>
      </c>
      <c r="H344" s="14">
        <v>44434.0</v>
      </c>
      <c r="I344" s="14">
        <v>44526.0</v>
      </c>
      <c r="J344" s="8">
        <v>-1561.0</v>
      </c>
      <c r="K344" s="15">
        <v>644980.0</v>
      </c>
      <c r="L344" s="15">
        <v>644980.0</v>
      </c>
      <c r="M344" s="15">
        <v>3.800807781E7</v>
      </c>
    </row>
    <row r="345" ht="13.5" customHeight="1" outlineLevel="3">
      <c r="A345" s="7" t="s">
        <v>389</v>
      </c>
      <c r="B345" s="7" t="s">
        <v>390</v>
      </c>
      <c r="C345" s="7" t="s">
        <v>45</v>
      </c>
      <c r="D345" s="7" t="s">
        <v>27</v>
      </c>
      <c r="E345" s="7" t="s">
        <v>19</v>
      </c>
      <c r="F345" s="7" t="s">
        <v>20</v>
      </c>
      <c r="G345" s="7" t="s">
        <v>401</v>
      </c>
      <c r="H345" s="14">
        <v>44434.0</v>
      </c>
      <c r="I345" s="14">
        <v>44526.0</v>
      </c>
      <c r="J345" s="8">
        <v>-1561.0</v>
      </c>
      <c r="K345" s="15">
        <v>9589348.0</v>
      </c>
      <c r="L345" s="15">
        <v>9589348.0</v>
      </c>
      <c r="M345" s="15">
        <v>4.759742581E7</v>
      </c>
    </row>
    <row r="346" ht="13.5" customHeight="1" outlineLevel="3">
      <c r="A346" s="7" t="s">
        <v>389</v>
      </c>
      <c r="B346" s="7" t="s">
        <v>390</v>
      </c>
      <c r="C346" s="7" t="s">
        <v>45</v>
      </c>
      <c r="D346" s="7" t="s">
        <v>27</v>
      </c>
      <c r="E346" s="7" t="s">
        <v>19</v>
      </c>
      <c r="F346" s="7" t="s">
        <v>20</v>
      </c>
      <c r="G346" s="7" t="s">
        <v>402</v>
      </c>
      <c r="H346" s="14">
        <v>44434.0</v>
      </c>
      <c r="I346" s="14">
        <v>44526.0</v>
      </c>
      <c r="J346" s="8">
        <v>-1561.0</v>
      </c>
      <c r="K346" s="15">
        <v>3924885.0</v>
      </c>
      <c r="L346" s="15">
        <v>3924885.0</v>
      </c>
      <c r="M346" s="15">
        <v>5.152231081E7</v>
      </c>
    </row>
    <row r="347" ht="13.5" customHeight="1" outlineLevel="3">
      <c r="A347" s="7" t="s">
        <v>389</v>
      </c>
      <c r="B347" s="7" t="s">
        <v>390</v>
      </c>
      <c r="C347" s="7" t="s">
        <v>45</v>
      </c>
      <c r="D347" s="7" t="s">
        <v>27</v>
      </c>
      <c r="E347" s="7" t="s">
        <v>19</v>
      </c>
      <c r="F347" s="7" t="s">
        <v>20</v>
      </c>
      <c r="G347" s="7" t="s">
        <v>403</v>
      </c>
      <c r="H347" s="14">
        <v>44439.0</v>
      </c>
      <c r="I347" s="14">
        <v>44530.0</v>
      </c>
      <c r="J347" s="8">
        <v>-1557.0</v>
      </c>
      <c r="K347" s="15">
        <v>6797775.0</v>
      </c>
      <c r="L347" s="15">
        <v>6797775.0</v>
      </c>
      <c r="M347" s="15">
        <v>5.832008581E7</v>
      </c>
    </row>
    <row r="348" ht="13.5" customHeight="1" outlineLevel="3">
      <c r="A348" s="7" t="s">
        <v>389</v>
      </c>
      <c r="B348" s="7" t="s">
        <v>390</v>
      </c>
      <c r="C348" s="7" t="s">
        <v>45</v>
      </c>
      <c r="D348" s="7" t="s">
        <v>27</v>
      </c>
      <c r="E348" s="7" t="s">
        <v>19</v>
      </c>
      <c r="F348" s="7" t="s">
        <v>20</v>
      </c>
      <c r="G348" s="7" t="s">
        <v>404</v>
      </c>
      <c r="H348" s="14">
        <v>44439.0</v>
      </c>
      <c r="I348" s="14">
        <v>44530.0</v>
      </c>
      <c r="J348" s="8">
        <v>-1557.0</v>
      </c>
      <c r="K348" s="15">
        <v>1017450.0</v>
      </c>
      <c r="L348" s="15">
        <v>1017450.0</v>
      </c>
      <c r="M348" s="15">
        <v>5.933753581E7</v>
      </c>
    </row>
    <row r="349" ht="13.5" customHeight="1" outlineLevel="3">
      <c r="A349" s="7" t="s">
        <v>389</v>
      </c>
      <c r="B349" s="7" t="s">
        <v>390</v>
      </c>
      <c r="C349" s="7" t="s">
        <v>45</v>
      </c>
      <c r="D349" s="7" t="s">
        <v>27</v>
      </c>
      <c r="E349" s="7" t="s">
        <v>19</v>
      </c>
      <c r="F349" s="7" t="s">
        <v>20</v>
      </c>
      <c r="G349" s="7" t="s">
        <v>405</v>
      </c>
      <c r="H349" s="14">
        <v>44439.0</v>
      </c>
      <c r="I349" s="14">
        <v>44530.0</v>
      </c>
      <c r="J349" s="8">
        <v>-1557.0</v>
      </c>
      <c r="K349" s="15">
        <v>619835.3</v>
      </c>
      <c r="L349" s="15">
        <v>619835.3</v>
      </c>
      <c r="M349" s="15">
        <v>5.995737111E7</v>
      </c>
    </row>
    <row r="350" ht="13.5" customHeight="1" outlineLevel="3">
      <c r="A350" s="7" t="s">
        <v>389</v>
      </c>
      <c r="B350" s="7" t="s">
        <v>390</v>
      </c>
      <c r="C350" s="7" t="s">
        <v>45</v>
      </c>
      <c r="D350" s="7" t="s">
        <v>27</v>
      </c>
      <c r="E350" s="7" t="s">
        <v>19</v>
      </c>
      <c r="F350" s="7" t="s">
        <v>20</v>
      </c>
      <c r="G350" s="7" t="s">
        <v>406</v>
      </c>
      <c r="H350" s="14">
        <v>44439.0</v>
      </c>
      <c r="I350" s="14">
        <v>44530.0</v>
      </c>
      <c r="J350" s="8">
        <v>-1557.0</v>
      </c>
      <c r="K350" s="15">
        <v>3900420.0</v>
      </c>
      <c r="L350" s="15">
        <v>3900420.0</v>
      </c>
      <c r="M350" s="15">
        <v>6.385779111E7</v>
      </c>
    </row>
    <row r="351" ht="13.5" customHeight="1" outlineLevel="3">
      <c r="A351" s="7" t="s">
        <v>389</v>
      </c>
      <c r="B351" s="7" t="s">
        <v>390</v>
      </c>
      <c r="C351" s="7" t="s">
        <v>45</v>
      </c>
      <c r="D351" s="7" t="s">
        <v>27</v>
      </c>
      <c r="E351" s="7" t="s">
        <v>19</v>
      </c>
      <c r="F351" s="7" t="s">
        <v>20</v>
      </c>
      <c r="G351" s="7" t="s">
        <v>407</v>
      </c>
      <c r="H351" s="14">
        <v>44445.0</v>
      </c>
      <c r="I351" s="14">
        <v>44536.0</v>
      </c>
      <c r="J351" s="8">
        <v>-1551.0</v>
      </c>
      <c r="K351" s="15">
        <v>2229810.0</v>
      </c>
      <c r="L351" s="15">
        <v>2229810.0</v>
      </c>
      <c r="M351" s="15">
        <v>6.608760111E7</v>
      </c>
    </row>
    <row r="352" ht="13.5" customHeight="1" outlineLevel="3">
      <c r="A352" s="7" t="s">
        <v>389</v>
      </c>
      <c r="B352" s="7" t="s">
        <v>390</v>
      </c>
      <c r="C352" s="7" t="s">
        <v>45</v>
      </c>
      <c r="D352" s="7" t="s">
        <v>27</v>
      </c>
      <c r="E352" s="7" t="s">
        <v>19</v>
      </c>
      <c r="F352" s="7" t="s">
        <v>20</v>
      </c>
      <c r="G352" s="7" t="s">
        <v>408</v>
      </c>
      <c r="H352" s="14">
        <v>44446.0</v>
      </c>
      <c r="I352" s="14">
        <v>44537.0</v>
      </c>
      <c r="J352" s="8">
        <v>-1550.0</v>
      </c>
      <c r="K352" s="15">
        <v>1439940.0</v>
      </c>
      <c r="L352" s="15">
        <v>1439940.0</v>
      </c>
      <c r="M352" s="15">
        <v>6.752754111E7</v>
      </c>
    </row>
    <row r="353" ht="13.5" customHeight="1" outlineLevel="3">
      <c r="A353" s="7" t="s">
        <v>389</v>
      </c>
      <c r="B353" s="7" t="s">
        <v>390</v>
      </c>
      <c r="C353" s="7" t="s">
        <v>45</v>
      </c>
      <c r="D353" s="7" t="s">
        <v>27</v>
      </c>
      <c r="E353" s="7" t="s">
        <v>19</v>
      </c>
      <c r="F353" s="7" t="s">
        <v>20</v>
      </c>
      <c r="G353" s="7" t="s">
        <v>409</v>
      </c>
      <c r="H353" s="14">
        <v>44446.0</v>
      </c>
      <c r="I353" s="14">
        <v>44537.0</v>
      </c>
      <c r="J353" s="8">
        <v>-1550.0</v>
      </c>
      <c r="K353" s="15">
        <v>3316929.75</v>
      </c>
      <c r="L353" s="15">
        <v>3316929.75</v>
      </c>
      <c r="M353" s="15">
        <v>7.084447086E7</v>
      </c>
    </row>
    <row r="354" ht="13.5" customHeight="1" outlineLevel="3">
      <c r="A354" s="7" t="s">
        <v>389</v>
      </c>
      <c r="B354" s="7" t="s">
        <v>390</v>
      </c>
      <c r="C354" s="7" t="s">
        <v>45</v>
      </c>
      <c r="D354" s="7" t="s">
        <v>27</v>
      </c>
      <c r="E354" s="7" t="s">
        <v>19</v>
      </c>
      <c r="F354" s="7" t="s">
        <v>20</v>
      </c>
      <c r="G354" s="7" t="s">
        <v>410</v>
      </c>
      <c r="H354" s="14">
        <v>44446.0</v>
      </c>
      <c r="I354" s="14">
        <v>44537.0</v>
      </c>
      <c r="J354" s="8">
        <v>-1550.0</v>
      </c>
      <c r="K354" s="15">
        <v>7171740.0</v>
      </c>
      <c r="L354" s="15">
        <v>7171740.0</v>
      </c>
      <c r="M354" s="15">
        <v>7.801621086E7</v>
      </c>
    </row>
    <row r="355" ht="13.5" customHeight="1" outlineLevel="3">
      <c r="A355" s="7" t="s">
        <v>389</v>
      </c>
      <c r="B355" s="7" t="s">
        <v>390</v>
      </c>
      <c r="C355" s="7" t="s">
        <v>45</v>
      </c>
      <c r="D355" s="7" t="s">
        <v>27</v>
      </c>
      <c r="E355" s="7" t="s">
        <v>19</v>
      </c>
      <c r="F355" s="7" t="s">
        <v>20</v>
      </c>
      <c r="G355" s="7" t="s">
        <v>411</v>
      </c>
      <c r="H355" s="14">
        <v>44447.0</v>
      </c>
      <c r="I355" s="14">
        <v>44538.0</v>
      </c>
      <c r="J355" s="8">
        <v>-1549.0</v>
      </c>
      <c r="K355" s="15">
        <v>274711.5</v>
      </c>
      <c r="L355" s="15">
        <v>274711.5</v>
      </c>
      <c r="M355" s="15">
        <v>7.829092236E7</v>
      </c>
    </row>
    <row r="356" ht="13.5" customHeight="1" outlineLevel="3">
      <c r="A356" s="7" t="s">
        <v>389</v>
      </c>
      <c r="B356" s="7" t="s">
        <v>390</v>
      </c>
      <c r="C356" s="7" t="s">
        <v>197</v>
      </c>
      <c r="D356" s="7" t="s">
        <v>27</v>
      </c>
      <c r="E356" s="7" t="s">
        <v>19</v>
      </c>
      <c r="F356" s="7" t="s">
        <v>20</v>
      </c>
      <c r="G356" s="7" t="s">
        <v>412</v>
      </c>
      <c r="H356" s="14">
        <v>44449.0</v>
      </c>
      <c r="I356" s="14">
        <v>44540.0</v>
      </c>
      <c r="J356" s="8">
        <v>-1547.0</v>
      </c>
      <c r="K356" s="15">
        <v>1.02197295E7</v>
      </c>
      <c r="L356" s="15">
        <v>1.02197295E7</v>
      </c>
      <c r="M356" s="15">
        <v>8.851065186E7</v>
      </c>
    </row>
    <row r="357" ht="13.5" customHeight="1" outlineLevel="3">
      <c r="A357" s="7" t="s">
        <v>389</v>
      </c>
      <c r="B357" s="7" t="s">
        <v>390</v>
      </c>
      <c r="C357" s="7" t="s">
        <v>45</v>
      </c>
      <c r="D357" s="7" t="s">
        <v>27</v>
      </c>
      <c r="E357" s="7" t="s">
        <v>19</v>
      </c>
      <c r="F357" s="7" t="s">
        <v>20</v>
      </c>
      <c r="G357" s="7" t="s">
        <v>413</v>
      </c>
      <c r="H357" s="14">
        <v>44453.0</v>
      </c>
      <c r="I357" s="14">
        <v>44544.0</v>
      </c>
      <c r="J357" s="8">
        <v>-1543.0</v>
      </c>
      <c r="K357" s="15">
        <v>1632165.0</v>
      </c>
      <c r="L357" s="15">
        <v>1632165.0</v>
      </c>
      <c r="M357" s="15">
        <v>9.014281686E7</v>
      </c>
    </row>
    <row r="358" ht="13.5" customHeight="1" outlineLevel="3">
      <c r="A358" s="7" t="s">
        <v>389</v>
      </c>
      <c r="B358" s="7" t="s">
        <v>390</v>
      </c>
      <c r="C358" s="7" t="s">
        <v>197</v>
      </c>
      <c r="D358" s="7" t="s">
        <v>27</v>
      </c>
      <c r="E358" s="7" t="s">
        <v>19</v>
      </c>
      <c r="F358" s="7" t="s">
        <v>20</v>
      </c>
      <c r="G358" s="7" t="s">
        <v>414</v>
      </c>
      <c r="H358" s="14">
        <v>44453.0</v>
      </c>
      <c r="I358" s="14">
        <v>44544.0</v>
      </c>
      <c r="J358" s="8">
        <v>-1543.0</v>
      </c>
      <c r="K358" s="15">
        <v>1140020.0</v>
      </c>
      <c r="L358" s="15">
        <v>1140020.0</v>
      </c>
      <c r="M358" s="15">
        <v>9.128283686E7</v>
      </c>
    </row>
    <row r="359" ht="13.5" customHeight="1" outlineLevel="3">
      <c r="A359" s="7" t="s">
        <v>389</v>
      </c>
      <c r="B359" s="7" t="s">
        <v>390</v>
      </c>
      <c r="C359" s="7" t="s">
        <v>45</v>
      </c>
      <c r="D359" s="7" t="s">
        <v>27</v>
      </c>
      <c r="E359" s="7" t="s">
        <v>19</v>
      </c>
      <c r="F359" s="7" t="s">
        <v>20</v>
      </c>
      <c r="G359" s="7" t="s">
        <v>415</v>
      </c>
      <c r="H359" s="14">
        <v>44453.0</v>
      </c>
      <c r="I359" s="14">
        <v>44544.0</v>
      </c>
      <c r="J359" s="8">
        <v>-1543.0</v>
      </c>
      <c r="K359" s="15">
        <v>3344715.0</v>
      </c>
      <c r="L359" s="15">
        <v>3344715.0</v>
      </c>
      <c r="M359" s="15">
        <v>9.462755186E7</v>
      </c>
    </row>
    <row r="360" ht="13.5" customHeight="1" outlineLevel="3">
      <c r="A360" s="7" t="s">
        <v>389</v>
      </c>
      <c r="B360" s="7" t="s">
        <v>390</v>
      </c>
      <c r="C360" s="7" t="s">
        <v>197</v>
      </c>
      <c r="D360" s="7" t="s">
        <v>27</v>
      </c>
      <c r="E360" s="7" t="s">
        <v>19</v>
      </c>
      <c r="F360" s="7" t="s">
        <v>20</v>
      </c>
      <c r="G360" s="7" t="s">
        <v>416</v>
      </c>
      <c r="H360" s="14">
        <v>44454.0</v>
      </c>
      <c r="I360" s="14">
        <v>44545.0</v>
      </c>
      <c r="J360" s="8">
        <v>-1542.0</v>
      </c>
      <c r="K360" s="15">
        <v>1.093905875E7</v>
      </c>
      <c r="L360" s="15">
        <v>1.093905875E7</v>
      </c>
      <c r="M360" s="15">
        <v>1.0556661061E8</v>
      </c>
    </row>
    <row r="361" ht="13.5" customHeight="1" outlineLevel="3">
      <c r="A361" s="7" t="s">
        <v>389</v>
      </c>
      <c r="B361" s="7" t="s">
        <v>390</v>
      </c>
      <c r="C361" s="7" t="s">
        <v>197</v>
      </c>
      <c r="D361" s="7" t="s">
        <v>27</v>
      </c>
      <c r="E361" s="7" t="s">
        <v>19</v>
      </c>
      <c r="F361" s="7" t="s">
        <v>20</v>
      </c>
      <c r="G361" s="7" t="s">
        <v>417</v>
      </c>
      <c r="H361" s="14">
        <v>44456.0</v>
      </c>
      <c r="I361" s="14">
        <v>44547.0</v>
      </c>
      <c r="J361" s="8">
        <v>-1540.0</v>
      </c>
      <c r="K361" s="15">
        <v>6351580.0</v>
      </c>
      <c r="L361" s="15">
        <v>6351580.0</v>
      </c>
      <c r="M361" s="15">
        <v>1.1191819061E8</v>
      </c>
    </row>
    <row r="362" ht="13.5" customHeight="1" outlineLevel="3">
      <c r="A362" s="7" t="s">
        <v>389</v>
      </c>
      <c r="B362" s="7" t="s">
        <v>390</v>
      </c>
      <c r="C362" s="7" t="s">
        <v>197</v>
      </c>
      <c r="D362" s="7" t="s">
        <v>27</v>
      </c>
      <c r="E362" s="7" t="s">
        <v>19</v>
      </c>
      <c r="F362" s="7" t="s">
        <v>20</v>
      </c>
      <c r="G362" s="7" t="s">
        <v>418</v>
      </c>
      <c r="H362" s="14">
        <v>44456.0</v>
      </c>
      <c r="I362" s="14">
        <v>44547.0</v>
      </c>
      <c r="J362" s="8">
        <v>-1540.0</v>
      </c>
      <c r="K362" s="15">
        <v>1558770.0</v>
      </c>
      <c r="L362" s="15">
        <v>1558770.0</v>
      </c>
      <c r="M362" s="15">
        <v>1.1347696061E8</v>
      </c>
    </row>
    <row r="363" ht="13.5" customHeight="1" outlineLevel="3">
      <c r="A363" s="7" t="s">
        <v>389</v>
      </c>
      <c r="B363" s="7" t="s">
        <v>390</v>
      </c>
      <c r="C363" s="7" t="s">
        <v>45</v>
      </c>
      <c r="D363" s="7" t="s">
        <v>27</v>
      </c>
      <c r="E363" s="7" t="s">
        <v>19</v>
      </c>
      <c r="F363" s="7" t="s">
        <v>20</v>
      </c>
      <c r="G363" s="7" t="s">
        <v>419</v>
      </c>
      <c r="H363" s="14">
        <v>44462.0</v>
      </c>
      <c r="I363" s="14">
        <v>44553.0</v>
      </c>
      <c r="J363" s="8">
        <v>-1534.0</v>
      </c>
      <c r="K363" s="15">
        <v>5149300.0</v>
      </c>
      <c r="L363" s="15">
        <v>5149300.0</v>
      </c>
      <c r="M363" s="15">
        <v>1.1862626061E8</v>
      </c>
    </row>
    <row r="364" ht="13.5" customHeight="1" outlineLevel="3">
      <c r="A364" s="7" t="s">
        <v>389</v>
      </c>
      <c r="B364" s="7" t="s">
        <v>390</v>
      </c>
      <c r="C364" s="7" t="s">
        <v>45</v>
      </c>
      <c r="D364" s="7" t="s">
        <v>27</v>
      </c>
      <c r="E364" s="7" t="s">
        <v>19</v>
      </c>
      <c r="F364" s="7" t="s">
        <v>20</v>
      </c>
      <c r="G364" s="7" t="s">
        <v>420</v>
      </c>
      <c r="H364" s="14">
        <v>44466.0</v>
      </c>
      <c r="I364" s="14">
        <v>44557.0</v>
      </c>
      <c r="J364" s="8">
        <v>-1530.0</v>
      </c>
      <c r="K364" s="15">
        <v>4624467.5</v>
      </c>
      <c r="L364" s="15">
        <v>4624467.5</v>
      </c>
      <c r="M364" s="15">
        <v>1.2325072811E8</v>
      </c>
    </row>
    <row r="365" ht="13.5" customHeight="1" outlineLevel="3">
      <c r="A365" s="7" t="s">
        <v>389</v>
      </c>
      <c r="B365" s="7" t="s">
        <v>390</v>
      </c>
      <c r="C365" s="7" t="s">
        <v>45</v>
      </c>
      <c r="D365" s="7" t="s">
        <v>27</v>
      </c>
      <c r="E365" s="7" t="s">
        <v>19</v>
      </c>
      <c r="F365" s="7" t="s">
        <v>20</v>
      </c>
      <c r="G365" s="7" t="s">
        <v>421</v>
      </c>
      <c r="H365" s="14">
        <v>44475.0</v>
      </c>
      <c r="I365" s="14">
        <v>44567.0</v>
      </c>
      <c r="J365" s="8">
        <v>-1521.0</v>
      </c>
      <c r="K365" s="15">
        <v>9643870.0</v>
      </c>
      <c r="L365" s="15">
        <v>9643870.0</v>
      </c>
      <c r="M365" s="15">
        <v>1.3289459811E8</v>
      </c>
    </row>
    <row r="366" ht="13.5" customHeight="1" outlineLevel="3">
      <c r="A366" s="7" t="s">
        <v>389</v>
      </c>
      <c r="B366" s="7" t="s">
        <v>390</v>
      </c>
      <c r="C366" s="7" t="s">
        <v>45</v>
      </c>
      <c r="D366" s="7" t="s">
        <v>27</v>
      </c>
      <c r="E366" s="7" t="s">
        <v>19</v>
      </c>
      <c r="F366" s="7" t="s">
        <v>20</v>
      </c>
      <c r="G366" s="7" t="s">
        <v>422</v>
      </c>
      <c r="H366" s="14">
        <v>44475.0</v>
      </c>
      <c r="I366" s="14">
        <v>44567.0</v>
      </c>
      <c r="J366" s="8">
        <v>-1521.0</v>
      </c>
      <c r="K366" s="15">
        <v>4508550.0</v>
      </c>
      <c r="L366" s="15">
        <v>4508550.0</v>
      </c>
      <c r="M366" s="15">
        <v>1.3740314811E8</v>
      </c>
    </row>
    <row r="367" ht="13.5" customHeight="1" outlineLevel="3">
      <c r="A367" s="7" t="s">
        <v>389</v>
      </c>
      <c r="B367" s="7" t="s">
        <v>390</v>
      </c>
      <c r="C367" s="7" t="s">
        <v>45</v>
      </c>
      <c r="D367" s="7" t="s">
        <v>27</v>
      </c>
      <c r="E367" s="7" t="s">
        <v>19</v>
      </c>
      <c r="F367" s="7" t="s">
        <v>20</v>
      </c>
      <c r="G367" s="7" t="s">
        <v>423</v>
      </c>
      <c r="H367" s="14">
        <v>44477.0</v>
      </c>
      <c r="I367" s="14">
        <v>44569.0</v>
      </c>
      <c r="J367" s="8">
        <v>-1519.0</v>
      </c>
      <c r="K367" s="15">
        <v>1.41075675E7</v>
      </c>
      <c r="L367" s="15">
        <v>1.41075675E7</v>
      </c>
      <c r="M367" s="15">
        <v>1.5151071561E8</v>
      </c>
    </row>
    <row r="368" ht="13.5" customHeight="1" outlineLevel="3">
      <c r="A368" s="7" t="s">
        <v>389</v>
      </c>
      <c r="B368" s="7" t="s">
        <v>390</v>
      </c>
      <c r="C368" s="7" t="s">
        <v>45</v>
      </c>
      <c r="D368" s="7" t="s">
        <v>27</v>
      </c>
      <c r="E368" s="7" t="s">
        <v>19</v>
      </c>
      <c r="F368" s="7" t="s">
        <v>20</v>
      </c>
      <c r="G368" s="7" t="s">
        <v>424</v>
      </c>
      <c r="H368" s="14">
        <v>44481.0</v>
      </c>
      <c r="I368" s="14">
        <v>44573.0</v>
      </c>
      <c r="J368" s="8">
        <v>-1515.0</v>
      </c>
      <c r="K368" s="15">
        <v>1202280.0</v>
      </c>
      <c r="L368" s="15">
        <v>1202280.0</v>
      </c>
      <c r="M368" s="15">
        <v>1.5271299561E8</v>
      </c>
    </row>
    <row r="369" ht="13.5" customHeight="1" outlineLevel="3">
      <c r="A369" s="7" t="s">
        <v>389</v>
      </c>
      <c r="B369" s="7" t="s">
        <v>390</v>
      </c>
      <c r="C369" s="7" t="s">
        <v>45</v>
      </c>
      <c r="D369" s="7" t="s">
        <v>27</v>
      </c>
      <c r="E369" s="7" t="s">
        <v>19</v>
      </c>
      <c r="F369" s="7" t="s">
        <v>20</v>
      </c>
      <c r="G369" s="7" t="s">
        <v>425</v>
      </c>
      <c r="H369" s="14">
        <v>44483.0</v>
      </c>
      <c r="I369" s="14">
        <v>44575.0</v>
      </c>
      <c r="J369" s="8">
        <v>-1513.0</v>
      </c>
      <c r="K369" s="15">
        <v>1202280.0</v>
      </c>
      <c r="L369" s="15">
        <v>1202280.0</v>
      </c>
      <c r="M369" s="15">
        <v>1.5391527561E8</v>
      </c>
    </row>
    <row r="370" ht="13.5" customHeight="1" outlineLevel="3">
      <c r="A370" s="7" t="s">
        <v>389</v>
      </c>
      <c r="B370" s="7" t="s">
        <v>390</v>
      </c>
      <c r="C370" s="7" t="s">
        <v>45</v>
      </c>
      <c r="D370" s="7" t="s">
        <v>27</v>
      </c>
      <c r="E370" s="7" t="s">
        <v>19</v>
      </c>
      <c r="F370" s="7" t="s">
        <v>20</v>
      </c>
      <c r="G370" s="7" t="s">
        <v>426</v>
      </c>
      <c r="H370" s="14">
        <v>44484.0</v>
      </c>
      <c r="I370" s="14">
        <v>44576.0</v>
      </c>
      <c r="J370" s="8">
        <v>-1512.0</v>
      </c>
      <c r="K370" s="15">
        <v>1558770.0</v>
      </c>
      <c r="L370" s="15">
        <v>1558770.0</v>
      </c>
      <c r="M370" s="15">
        <v>1.5547404561E8</v>
      </c>
    </row>
    <row r="371" ht="13.5" customHeight="1" outlineLevel="3">
      <c r="A371" s="7" t="s">
        <v>389</v>
      </c>
      <c r="B371" s="7" t="s">
        <v>390</v>
      </c>
      <c r="C371" s="7" t="s">
        <v>45</v>
      </c>
      <c r="D371" s="7" t="s">
        <v>27</v>
      </c>
      <c r="E371" s="7" t="s">
        <v>19</v>
      </c>
      <c r="F371" s="7" t="s">
        <v>20</v>
      </c>
      <c r="G371" s="7" t="s">
        <v>427</v>
      </c>
      <c r="H371" s="14">
        <v>44484.0</v>
      </c>
      <c r="I371" s="14">
        <v>44576.0</v>
      </c>
      <c r="J371" s="8">
        <v>-1512.0</v>
      </c>
      <c r="K371" s="15">
        <v>777070.0</v>
      </c>
      <c r="L371" s="15">
        <v>777070.0</v>
      </c>
      <c r="M371" s="15">
        <v>1.5625111561E8</v>
      </c>
    </row>
    <row r="372" ht="13.5" customHeight="1" outlineLevel="3">
      <c r="A372" s="7" t="s">
        <v>389</v>
      </c>
      <c r="B372" s="7" t="s">
        <v>390</v>
      </c>
      <c r="C372" s="7" t="s">
        <v>45</v>
      </c>
      <c r="D372" s="7" t="s">
        <v>27</v>
      </c>
      <c r="E372" s="7" t="s">
        <v>19</v>
      </c>
      <c r="F372" s="7" t="s">
        <v>20</v>
      </c>
      <c r="G372" s="7" t="s">
        <v>428</v>
      </c>
      <c r="H372" s="14">
        <v>44490.0</v>
      </c>
      <c r="I372" s="14">
        <v>44582.0</v>
      </c>
      <c r="J372" s="8">
        <v>-1506.0</v>
      </c>
      <c r="K372" s="15">
        <v>1202280.0</v>
      </c>
      <c r="L372" s="15">
        <v>1202280.0</v>
      </c>
      <c r="M372" s="15">
        <v>1.5745339561E8</v>
      </c>
    </row>
    <row r="373" ht="13.5" customHeight="1" outlineLevel="3">
      <c r="A373" s="7" t="s">
        <v>389</v>
      </c>
      <c r="B373" s="7" t="s">
        <v>390</v>
      </c>
      <c r="C373" s="7" t="s">
        <v>45</v>
      </c>
      <c r="D373" s="7" t="s">
        <v>27</v>
      </c>
      <c r="E373" s="7" t="s">
        <v>19</v>
      </c>
      <c r="F373" s="7" t="s">
        <v>20</v>
      </c>
      <c r="G373" s="7" t="s">
        <v>429</v>
      </c>
      <c r="H373" s="14">
        <v>44490.0</v>
      </c>
      <c r="I373" s="14">
        <v>44582.0</v>
      </c>
      <c r="J373" s="8">
        <v>-1506.0</v>
      </c>
      <c r="K373" s="15">
        <v>1.445765E7</v>
      </c>
      <c r="L373" s="15">
        <v>1.445765E7</v>
      </c>
      <c r="M373" s="15">
        <v>1.7191104561E8</v>
      </c>
    </row>
    <row r="374" ht="13.5" customHeight="1" outlineLevel="3">
      <c r="A374" s="7" t="s">
        <v>389</v>
      </c>
      <c r="B374" s="7" t="s">
        <v>390</v>
      </c>
      <c r="C374" s="7" t="s">
        <v>45</v>
      </c>
      <c r="D374" s="7" t="s">
        <v>27</v>
      </c>
      <c r="E374" s="7" t="s">
        <v>19</v>
      </c>
      <c r="F374" s="7" t="s">
        <v>20</v>
      </c>
      <c r="G374" s="7" t="s">
        <v>430</v>
      </c>
      <c r="H374" s="14">
        <v>44490.0</v>
      </c>
      <c r="I374" s="14">
        <v>44582.0</v>
      </c>
      <c r="J374" s="8">
        <v>-1506.0</v>
      </c>
      <c r="K374" s="15">
        <v>2.510109E7</v>
      </c>
      <c r="L374" s="15">
        <v>2.510109E7</v>
      </c>
      <c r="M374" s="15">
        <v>1.9701213561E8</v>
      </c>
    </row>
    <row r="375" ht="13.5" customHeight="1" outlineLevel="3">
      <c r="A375" s="7" t="s">
        <v>389</v>
      </c>
      <c r="B375" s="7" t="s">
        <v>390</v>
      </c>
      <c r="C375" s="7" t="s">
        <v>197</v>
      </c>
      <c r="D375" s="7" t="s">
        <v>27</v>
      </c>
      <c r="E375" s="7" t="s">
        <v>19</v>
      </c>
      <c r="F375" s="7" t="s">
        <v>20</v>
      </c>
      <c r="G375" s="7" t="s">
        <v>431</v>
      </c>
      <c r="H375" s="14">
        <v>44491.0</v>
      </c>
      <c r="I375" s="14">
        <v>44583.0</v>
      </c>
      <c r="J375" s="8">
        <v>-1505.0</v>
      </c>
      <c r="K375" s="15">
        <v>2503468.5</v>
      </c>
      <c r="L375" s="15">
        <v>2503468.5</v>
      </c>
      <c r="M375" s="15">
        <v>1.9951560411E8</v>
      </c>
    </row>
    <row r="376" ht="13.5" customHeight="1" outlineLevel="3">
      <c r="A376" s="7" t="s">
        <v>389</v>
      </c>
      <c r="B376" s="7" t="s">
        <v>390</v>
      </c>
      <c r="C376" s="7" t="s">
        <v>45</v>
      </c>
      <c r="D376" s="7" t="s">
        <v>27</v>
      </c>
      <c r="E376" s="7" t="s">
        <v>19</v>
      </c>
      <c r="F376" s="7" t="s">
        <v>20</v>
      </c>
      <c r="G376" s="7" t="s">
        <v>432</v>
      </c>
      <c r="H376" s="14">
        <v>44495.0</v>
      </c>
      <c r="I376" s="14">
        <v>44587.0</v>
      </c>
      <c r="J376" s="8">
        <v>-1501.0</v>
      </c>
      <c r="K376" s="15">
        <v>3005700.0</v>
      </c>
      <c r="L376" s="15">
        <v>3005700.0</v>
      </c>
      <c r="M376" s="15">
        <v>2.0252130411E8</v>
      </c>
    </row>
    <row r="377" ht="13.5" customHeight="1" outlineLevel="3">
      <c r="A377" s="7" t="s">
        <v>389</v>
      </c>
      <c r="B377" s="7" t="s">
        <v>390</v>
      </c>
      <c r="C377" s="7" t="s">
        <v>45</v>
      </c>
      <c r="D377" s="7" t="s">
        <v>27</v>
      </c>
      <c r="E377" s="7" t="s">
        <v>19</v>
      </c>
      <c r="F377" s="7" t="s">
        <v>20</v>
      </c>
      <c r="G377" s="7" t="s">
        <v>433</v>
      </c>
      <c r="H377" s="14">
        <v>44496.0</v>
      </c>
      <c r="I377" s="14">
        <v>44588.0</v>
      </c>
      <c r="J377" s="8">
        <v>-1500.0</v>
      </c>
      <c r="K377" s="15">
        <v>7266105.0</v>
      </c>
      <c r="L377" s="15">
        <v>7266105.0</v>
      </c>
      <c r="M377" s="15">
        <v>2.0978740911E8</v>
      </c>
    </row>
    <row r="378" ht="13.5" customHeight="1" outlineLevel="3">
      <c r="A378" s="7" t="s">
        <v>389</v>
      </c>
      <c r="B378" s="7" t="s">
        <v>390</v>
      </c>
      <c r="C378" s="7" t="s">
        <v>45</v>
      </c>
      <c r="D378" s="7" t="s">
        <v>27</v>
      </c>
      <c r="E378" s="7" t="s">
        <v>19</v>
      </c>
      <c r="F378" s="7" t="s">
        <v>20</v>
      </c>
      <c r="G378" s="7" t="s">
        <v>434</v>
      </c>
      <c r="H378" s="14">
        <v>44496.0</v>
      </c>
      <c r="I378" s="14">
        <v>44588.0</v>
      </c>
      <c r="J378" s="8">
        <v>-1500.0</v>
      </c>
      <c r="K378" s="15">
        <v>1023400.0</v>
      </c>
      <c r="L378" s="15">
        <v>1023400.0</v>
      </c>
      <c r="M378" s="15">
        <v>2.1081080911E8</v>
      </c>
    </row>
    <row r="379" ht="13.5" customHeight="1" outlineLevel="3">
      <c r="A379" s="7" t="s">
        <v>389</v>
      </c>
      <c r="B379" s="7" t="s">
        <v>390</v>
      </c>
      <c r="C379" s="7" t="s">
        <v>45</v>
      </c>
      <c r="D379" s="7" t="s">
        <v>27</v>
      </c>
      <c r="E379" s="7" t="s">
        <v>19</v>
      </c>
      <c r="F379" s="7" t="s">
        <v>20</v>
      </c>
      <c r="G379" s="7" t="s">
        <v>435</v>
      </c>
      <c r="H379" s="14">
        <v>44497.0</v>
      </c>
      <c r="I379" s="14">
        <v>44589.0</v>
      </c>
      <c r="J379" s="8">
        <v>-1499.0</v>
      </c>
      <c r="K379" s="15">
        <v>265268.85</v>
      </c>
      <c r="L379" s="15">
        <v>265268.85</v>
      </c>
      <c r="M379" s="15">
        <v>2.1107607796E8</v>
      </c>
    </row>
    <row r="380" ht="13.5" customHeight="1" outlineLevel="3">
      <c r="A380" s="7" t="s">
        <v>389</v>
      </c>
      <c r="B380" s="7" t="s">
        <v>390</v>
      </c>
      <c r="C380" s="7" t="s">
        <v>45</v>
      </c>
      <c r="D380" s="7" t="s">
        <v>27</v>
      </c>
      <c r="E380" s="7" t="s">
        <v>19</v>
      </c>
      <c r="F380" s="7" t="s">
        <v>20</v>
      </c>
      <c r="G380" s="7" t="s">
        <v>436</v>
      </c>
      <c r="H380" s="14">
        <v>44508.0</v>
      </c>
      <c r="I380" s="14">
        <v>44600.0</v>
      </c>
      <c r="J380" s="8">
        <v>-1489.0</v>
      </c>
      <c r="K380" s="15">
        <v>1372370.0</v>
      </c>
      <c r="L380" s="15">
        <v>1372370.0</v>
      </c>
      <c r="M380" s="15">
        <v>2.1244844796E8</v>
      </c>
    </row>
    <row r="381" ht="13.5" customHeight="1" outlineLevel="3">
      <c r="A381" s="7" t="s">
        <v>389</v>
      </c>
      <c r="B381" s="7" t="s">
        <v>390</v>
      </c>
      <c r="C381" s="7" t="s">
        <v>45</v>
      </c>
      <c r="D381" s="7" t="s">
        <v>27</v>
      </c>
      <c r="E381" s="7" t="s">
        <v>19</v>
      </c>
      <c r="F381" s="7" t="s">
        <v>20</v>
      </c>
      <c r="G381" s="7" t="s">
        <v>437</v>
      </c>
      <c r="H381" s="14">
        <v>44511.0</v>
      </c>
      <c r="I381" s="14">
        <v>44603.0</v>
      </c>
      <c r="J381" s="8">
        <v>-1486.0</v>
      </c>
      <c r="K381" s="15">
        <v>1.434348E7</v>
      </c>
      <c r="L381" s="15">
        <v>1.434348E7</v>
      </c>
      <c r="M381" s="15">
        <v>2.2679192796E8</v>
      </c>
    </row>
    <row r="382" ht="13.5" customHeight="1" outlineLevel="3">
      <c r="A382" s="7" t="s">
        <v>389</v>
      </c>
      <c r="B382" s="7" t="s">
        <v>390</v>
      </c>
      <c r="C382" s="7" t="s">
        <v>45</v>
      </c>
      <c r="D382" s="7" t="s">
        <v>27</v>
      </c>
      <c r="E382" s="7" t="s">
        <v>19</v>
      </c>
      <c r="F382" s="7" t="s">
        <v>20</v>
      </c>
      <c r="G382" s="7" t="s">
        <v>438</v>
      </c>
      <c r="H382" s="14">
        <v>44512.0</v>
      </c>
      <c r="I382" s="14">
        <v>44604.0</v>
      </c>
      <c r="J382" s="8">
        <v>-1485.0</v>
      </c>
      <c r="K382" s="15">
        <v>1.52341225E7</v>
      </c>
      <c r="L382" s="15">
        <v>1.52341225E7</v>
      </c>
      <c r="M382" s="15">
        <v>2.4202605046E8</v>
      </c>
    </row>
    <row r="383" ht="13.5" customHeight="1" outlineLevel="3">
      <c r="A383" s="7" t="s">
        <v>389</v>
      </c>
      <c r="B383" s="7" t="s">
        <v>390</v>
      </c>
      <c r="C383" s="7" t="s">
        <v>45</v>
      </c>
      <c r="D383" s="7" t="s">
        <v>27</v>
      </c>
      <c r="E383" s="7" t="s">
        <v>19</v>
      </c>
      <c r="F383" s="7" t="s">
        <v>20</v>
      </c>
      <c r="G383" s="7" t="s">
        <v>439</v>
      </c>
      <c r="H383" s="14">
        <v>44516.0</v>
      </c>
      <c r="I383" s="14">
        <v>44608.0</v>
      </c>
      <c r="J383" s="8">
        <v>-1481.0</v>
      </c>
      <c r="K383" s="15">
        <v>442680.0</v>
      </c>
      <c r="L383" s="15">
        <v>442680.0</v>
      </c>
      <c r="M383" s="15">
        <v>2.4246873046E8</v>
      </c>
    </row>
    <row r="384" ht="13.5" customHeight="1" outlineLevel="3">
      <c r="A384" s="7" t="s">
        <v>389</v>
      </c>
      <c r="B384" s="7" t="s">
        <v>390</v>
      </c>
      <c r="C384" s="7" t="s">
        <v>197</v>
      </c>
      <c r="D384" s="7" t="s">
        <v>27</v>
      </c>
      <c r="E384" s="7" t="s">
        <v>19</v>
      </c>
      <c r="F384" s="7" t="s">
        <v>20</v>
      </c>
      <c r="G384" s="7" t="s">
        <v>440</v>
      </c>
      <c r="H384" s="14">
        <v>44516.0</v>
      </c>
      <c r="I384" s="14">
        <v>44608.0</v>
      </c>
      <c r="J384" s="8">
        <v>-1481.0</v>
      </c>
      <c r="K384" s="15">
        <v>4594072.65</v>
      </c>
      <c r="L384" s="15">
        <v>4594072.65</v>
      </c>
      <c r="M384" s="15">
        <v>2.4706280311E8</v>
      </c>
    </row>
    <row r="385" ht="13.5" customHeight="1" outlineLevel="3">
      <c r="A385" s="7" t="s">
        <v>389</v>
      </c>
      <c r="B385" s="7" t="s">
        <v>390</v>
      </c>
      <c r="C385" s="7" t="s">
        <v>45</v>
      </c>
      <c r="D385" s="7" t="s">
        <v>27</v>
      </c>
      <c r="E385" s="7" t="s">
        <v>19</v>
      </c>
      <c r="F385" s="7" t="s">
        <v>20</v>
      </c>
      <c r="G385" s="7" t="s">
        <v>441</v>
      </c>
      <c r="H385" s="14">
        <v>44525.0</v>
      </c>
      <c r="I385" s="14">
        <v>44617.0</v>
      </c>
      <c r="J385" s="8">
        <v>-1472.0</v>
      </c>
      <c r="K385" s="15">
        <v>1901035.35</v>
      </c>
      <c r="L385" s="15">
        <v>1901035.35</v>
      </c>
      <c r="M385" s="15">
        <v>2.4896383846E8</v>
      </c>
    </row>
    <row r="386" ht="13.5" customHeight="1" outlineLevel="3">
      <c r="A386" s="7" t="s">
        <v>389</v>
      </c>
      <c r="B386" s="7" t="s">
        <v>390</v>
      </c>
      <c r="C386" s="7" t="s">
        <v>45</v>
      </c>
      <c r="D386" s="7" t="s">
        <v>27</v>
      </c>
      <c r="E386" s="7" t="s">
        <v>19</v>
      </c>
      <c r="F386" s="7" t="s">
        <v>20</v>
      </c>
      <c r="G386" s="7" t="s">
        <v>442</v>
      </c>
      <c r="H386" s="14">
        <v>44525.0</v>
      </c>
      <c r="I386" s="14">
        <v>44617.0</v>
      </c>
      <c r="J386" s="8">
        <v>-1472.0</v>
      </c>
      <c r="K386" s="15">
        <v>4997850.0</v>
      </c>
      <c r="L386" s="15">
        <v>4997850.0</v>
      </c>
      <c r="M386" s="15">
        <v>2.5396168846E8</v>
      </c>
    </row>
    <row r="387" ht="13.5" customHeight="1" outlineLevel="3">
      <c r="A387" s="7" t="s">
        <v>389</v>
      </c>
      <c r="B387" s="7" t="s">
        <v>390</v>
      </c>
      <c r="C387" s="7" t="s">
        <v>45</v>
      </c>
      <c r="D387" s="7" t="s">
        <v>27</v>
      </c>
      <c r="E387" s="7" t="s">
        <v>19</v>
      </c>
      <c r="F387" s="7" t="s">
        <v>20</v>
      </c>
      <c r="G387" s="7" t="s">
        <v>443</v>
      </c>
      <c r="H387" s="14">
        <v>44532.0</v>
      </c>
      <c r="I387" s="14">
        <v>44622.0</v>
      </c>
      <c r="J387" s="8">
        <v>-1465.0</v>
      </c>
      <c r="K387" s="15">
        <v>1.075761E7</v>
      </c>
      <c r="L387" s="15">
        <v>1.075761E7</v>
      </c>
      <c r="M387" s="15">
        <v>2.6471929846E8</v>
      </c>
    </row>
    <row r="388" ht="13.5" customHeight="1" outlineLevel="3">
      <c r="A388" s="7" t="s">
        <v>389</v>
      </c>
      <c r="B388" s="7" t="s">
        <v>390</v>
      </c>
      <c r="C388" s="7" t="s">
        <v>45</v>
      </c>
      <c r="D388" s="7" t="s">
        <v>27</v>
      </c>
      <c r="E388" s="7" t="s">
        <v>19</v>
      </c>
      <c r="F388" s="7" t="s">
        <v>20</v>
      </c>
      <c r="G388" s="7" t="s">
        <v>444</v>
      </c>
      <c r="H388" s="14">
        <v>44533.0</v>
      </c>
      <c r="I388" s="14">
        <v>44623.0</v>
      </c>
      <c r="J388" s="8">
        <v>-1464.0</v>
      </c>
      <c r="K388" s="15">
        <v>8526751.5</v>
      </c>
      <c r="L388" s="15">
        <v>8526751.5</v>
      </c>
      <c r="M388" s="15">
        <v>2.7324604996E8</v>
      </c>
    </row>
    <row r="389" ht="13.5" customHeight="1" outlineLevel="3">
      <c r="A389" s="7" t="s">
        <v>389</v>
      </c>
      <c r="B389" s="7" t="s">
        <v>390</v>
      </c>
      <c r="C389" s="7" t="s">
        <v>45</v>
      </c>
      <c r="D389" s="7" t="s">
        <v>27</v>
      </c>
      <c r="E389" s="7" t="s">
        <v>19</v>
      </c>
      <c r="F389" s="7" t="s">
        <v>20</v>
      </c>
      <c r="G389" s="7" t="s">
        <v>445</v>
      </c>
      <c r="H389" s="14">
        <v>44536.0</v>
      </c>
      <c r="I389" s="14">
        <v>44626.0</v>
      </c>
      <c r="J389" s="8">
        <v>-1461.0</v>
      </c>
      <c r="K389" s="15">
        <v>1.075761E7</v>
      </c>
      <c r="L389" s="15">
        <v>1.075761E7</v>
      </c>
      <c r="M389" s="15">
        <v>2.8400365996E8</v>
      </c>
    </row>
    <row r="390" ht="13.5" customHeight="1" outlineLevel="3">
      <c r="A390" s="7" t="s">
        <v>389</v>
      </c>
      <c r="B390" s="7" t="s">
        <v>390</v>
      </c>
      <c r="C390" s="7" t="s">
        <v>45</v>
      </c>
      <c r="D390" s="7" t="s">
        <v>27</v>
      </c>
      <c r="E390" s="7" t="s">
        <v>19</v>
      </c>
      <c r="F390" s="7" t="s">
        <v>20</v>
      </c>
      <c r="G390" s="7" t="s">
        <v>446</v>
      </c>
      <c r="H390" s="14">
        <v>44536.0</v>
      </c>
      <c r="I390" s="14">
        <v>44626.0</v>
      </c>
      <c r="J390" s="8">
        <v>-1461.0</v>
      </c>
      <c r="K390" s="15">
        <v>4997850.0</v>
      </c>
      <c r="L390" s="15">
        <v>4997850.0</v>
      </c>
      <c r="M390" s="15">
        <v>2.8900150996E8</v>
      </c>
    </row>
    <row r="391" ht="13.5" customHeight="1" outlineLevel="3">
      <c r="A391" s="7" t="s">
        <v>389</v>
      </c>
      <c r="B391" s="7" t="s">
        <v>390</v>
      </c>
      <c r="C391" s="7" t="s">
        <v>45</v>
      </c>
      <c r="D391" s="7" t="s">
        <v>27</v>
      </c>
      <c r="E391" s="7" t="s">
        <v>19</v>
      </c>
      <c r="F391" s="7" t="s">
        <v>20</v>
      </c>
      <c r="G391" s="7" t="s">
        <v>447</v>
      </c>
      <c r="H391" s="14">
        <v>44545.0</v>
      </c>
      <c r="I391" s="14">
        <v>44635.0</v>
      </c>
      <c r="J391" s="8">
        <v>-1452.0</v>
      </c>
      <c r="K391" s="15">
        <v>600950.0</v>
      </c>
      <c r="L391" s="15">
        <v>600950.0</v>
      </c>
      <c r="M391" s="15">
        <v>2.8960245996E8</v>
      </c>
    </row>
    <row r="392" ht="13.5" customHeight="1" outlineLevel="3">
      <c r="A392" s="7" t="s">
        <v>389</v>
      </c>
      <c r="B392" s="7" t="s">
        <v>390</v>
      </c>
      <c r="C392" s="7" t="s">
        <v>45</v>
      </c>
      <c r="D392" s="7" t="s">
        <v>27</v>
      </c>
      <c r="E392" s="7" t="s">
        <v>19</v>
      </c>
      <c r="F392" s="7" t="s">
        <v>20</v>
      </c>
      <c r="G392" s="7" t="s">
        <v>448</v>
      </c>
      <c r="H392" s="14">
        <v>44552.0</v>
      </c>
      <c r="I392" s="14">
        <v>44642.0</v>
      </c>
      <c r="J392" s="8">
        <v>-1445.0</v>
      </c>
      <c r="K392" s="15">
        <v>4531850.0</v>
      </c>
      <c r="L392" s="15">
        <v>4531850.0</v>
      </c>
      <c r="M392" s="15">
        <v>2.9413430996E8</v>
      </c>
    </row>
    <row r="393" ht="13.5" customHeight="1" outlineLevel="3">
      <c r="A393" s="7" t="s">
        <v>389</v>
      </c>
      <c r="B393" s="7" t="s">
        <v>390</v>
      </c>
      <c r="C393" s="7" t="s">
        <v>45</v>
      </c>
      <c r="D393" s="7" t="s">
        <v>27</v>
      </c>
      <c r="E393" s="7" t="s">
        <v>19</v>
      </c>
      <c r="F393" s="7" t="s">
        <v>20</v>
      </c>
      <c r="G393" s="7" t="s">
        <v>449</v>
      </c>
      <c r="H393" s="14">
        <v>44552.0</v>
      </c>
      <c r="I393" s="14">
        <v>44642.0</v>
      </c>
      <c r="J393" s="8">
        <v>-1445.0</v>
      </c>
      <c r="K393" s="15">
        <v>1.4868429E7</v>
      </c>
      <c r="L393" s="15">
        <v>1.4868429E7</v>
      </c>
      <c r="M393" s="15">
        <v>3.0900273896E8</v>
      </c>
    </row>
    <row r="394" ht="13.5" customHeight="1" outlineLevel="3">
      <c r="A394" s="7" t="s">
        <v>389</v>
      </c>
      <c r="B394" s="7" t="s">
        <v>390</v>
      </c>
      <c r="C394" s="7" t="s">
        <v>45</v>
      </c>
      <c r="D394" s="7" t="s">
        <v>27</v>
      </c>
      <c r="E394" s="7" t="s">
        <v>19</v>
      </c>
      <c r="F394" s="7" t="s">
        <v>20</v>
      </c>
      <c r="G394" s="7" t="s">
        <v>450</v>
      </c>
      <c r="H394" s="14">
        <v>44553.0</v>
      </c>
      <c r="I394" s="14">
        <v>44643.0</v>
      </c>
      <c r="J394" s="8">
        <v>-1444.0</v>
      </c>
      <c r="K394" s="15">
        <v>5711179.5</v>
      </c>
      <c r="L394" s="15">
        <v>5711179.5</v>
      </c>
      <c r="M394" s="15">
        <v>3.1471391846E8</v>
      </c>
    </row>
    <row r="395" ht="13.5" customHeight="1" outlineLevel="3">
      <c r="A395" s="7" t="s">
        <v>389</v>
      </c>
      <c r="B395" s="7" t="s">
        <v>390</v>
      </c>
      <c r="C395" s="7" t="s">
        <v>45</v>
      </c>
      <c r="D395" s="7" t="s">
        <v>27</v>
      </c>
      <c r="E395" s="7" t="s">
        <v>19</v>
      </c>
      <c r="F395" s="7" t="s">
        <v>20</v>
      </c>
      <c r="G395" s="7" t="s">
        <v>451</v>
      </c>
      <c r="H395" s="14">
        <v>44581.0</v>
      </c>
      <c r="I395" s="14">
        <v>44671.0</v>
      </c>
      <c r="J395" s="8">
        <v>-1417.0</v>
      </c>
      <c r="K395" s="15">
        <v>2.29464225E7</v>
      </c>
      <c r="L395" s="15">
        <v>2.29464225E7</v>
      </c>
      <c r="M395" s="15">
        <v>3.3766034096E8</v>
      </c>
    </row>
    <row r="396" ht="13.5" customHeight="1" outlineLevel="3">
      <c r="A396" s="7" t="s">
        <v>389</v>
      </c>
      <c r="B396" s="7" t="s">
        <v>390</v>
      </c>
      <c r="C396" s="7" t="s">
        <v>45</v>
      </c>
      <c r="D396" s="7" t="s">
        <v>27</v>
      </c>
      <c r="E396" s="7" t="s">
        <v>19</v>
      </c>
      <c r="F396" s="7" t="s">
        <v>20</v>
      </c>
      <c r="G396" s="7" t="s">
        <v>452</v>
      </c>
      <c r="H396" s="14">
        <v>44610.0</v>
      </c>
      <c r="I396" s="14">
        <v>44699.0</v>
      </c>
      <c r="J396" s="8">
        <v>-1389.0</v>
      </c>
      <c r="K396" s="15">
        <v>6563144.0</v>
      </c>
      <c r="L396" s="15">
        <v>6563144.0</v>
      </c>
      <c r="M396" s="15">
        <v>3.4422348496E8</v>
      </c>
    </row>
    <row r="397" ht="13.5" customHeight="1" outlineLevel="3">
      <c r="A397" s="7" t="s">
        <v>389</v>
      </c>
      <c r="B397" s="7" t="s">
        <v>390</v>
      </c>
      <c r="C397" s="7" t="s">
        <v>45</v>
      </c>
      <c r="D397" s="7" t="s">
        <v>27</v>
      </c>
      <c r="E397" s="7" t="s">
        <v>19</v>
      </c>
      <c r="F397" s="7" t="s">
        <v>20</v>
      </c>
      <c r="G397" s="7" t="s">
        <v>453</v>
      </c>
      <c r="H397" s="14">
        <v>44610.0</v>
      </c>
      <c r="I397" s="14">
        <v>44699.0</v>
      </c>
      <c r="J397" s="8">
        <v>-1389.0</v>
      </c>
      <c r="K397" s="15">
        <v>3005700.0</v>
      </c>
      <c r="L397" s="15">
        <v>3005700.0</v>
      </c>
      <c r="M397" s="15">
        <v>3.4722918496E8</v>
      </c>
    </row>
    <row r="398" ht="13.5" customHeight="1" outlineLevel="3">
      <c r="A398" s="7" t="s">
        <v>389</v>
      </c>
      <c r="B398" s="7" t="s">
        <v>390</v>
      </c>
      <c r="C398" s="7" t="s">
        <v>45</v>
      </c>
      <c r="D398" s="7" t="s">
        <v>27</v>
      </c>
      <c r="E398" s="7" t="s">
        <v>19</v>
      </c>
      <c r="F398" s="7" t="s">
        <v>20</v>
      </c>
      <c r="G398" s="7" t="s">
        <v>454</v>
      </c>
      <c r="H398" s="14">
        <v>44617.0</v>
      </c>
      <c r="I398" s="14">
        <v>44706.0</v>
      </c>
      <c r="J398" s="8">
        <v>-1382.0</v>
      </c>
      <c r="K398" s="15">
        <v>5711179.5</v>
      </c>
      <c r="L398" s="15">
        <v>5711179.5</v>
      </c>
      <c r="M398" s="15">
        <v>3.5294036446E8</v>
      </c>
    </row>
    <row r="399" ht="13.5" customHeight="1" outlineLevel="3">
      <c r="A399" s="7" t="s">
        <v>389</v>
      </c>
      <c r="B399" s="7" t="s">
        <v>390</v>
      </c>
      <c r="C399" s="7" t="s">
        <v>45</v>
      </c>
      <c r="D399" s="7" t="s">
        <v>27</v>
      </c>
      <c r="E399" s="7" t="s">
        <v>19</v>
      </c>
      <c r="F399" s="7" t="s">
        <v>20</v>
      </c>
      <c r="G399" s="7" t="s">
        <v>455</v>
      </c>
      <c r="H399" s="14">
        <v>44617.0</v>
      </c>
      <c r="I399" s="14">
        <v>44706.0</v>
      </c>
      <c r="J399" s="8">
        <v>-1382.0</v>
      </c>
      <c r="K399" s="15">
        <v>1367710.0</v>
      </c>
      <c r="L399" s="15">
        <v>1367710.0</v>
      </c>
      <c r="M399" s="15">
        <v>3.5430807446E8</v>
      </c>
    </row>
    <row r="400" ht="13.5" customHeight="1" outlineLevel="3">
      <c r="A400" s="7" t="s">
        <v>389</v>
      </c>
      <c r="B400" s="7" t="s">
        <v>390</v>
      </c>
      <c r="C400" s="7" t="s">
        <v>45</v>
      </c>
      <c r="D400" s="7" t="s">
        <v>27</v>
      </c>
      <c r="E400" s="7" t="s">
        <v>19</v>
      </c>
      <c r="F400" s="7" t="s">
        <v>20</v>
      </c>
      <c r="G400" s="7" t="s">
        <v>456</v>
      </c>
      <c r="H400" s="14">
        <v>44622.0</v>
      </c>
      <c r="I400" s="14">
        <v>44714.0</v>
      </c>
      <c r="J400" s="8">
        <v>-1375.0</v>
      </c>
      <c r="K400" s="15">
        <v>2605522.5</v>
      </c>
      <c r="L400" s="15">
        <v>2605522.5</v>
      </c>
      <c r="M400" s="15">
        <v>3.5691359696E8</v>
      </c>
    </row>
    <row r="401" ht="13.5" customHeight="1" outlineLevel="3">
      <c r="A401" s="7" t="s">
        <v>389</v>
      </c>
      <c r="B401" s="7" t="s">
        <v>390</v>
      </c>
      <c r="C401" s="7" t="s">
        <v>45</v>
      </c>
      <c r="D401" s="7" t="s">
        <v>27</v>
      </c>
      <c r="E401" s="7" t="s">
        <v>19</v>
      </c>
      <c r="F401" s="7" t="s">
        <v>20</v>
      </c>
      <c r="G401" s="7" t="s">
        <v>457</v>
      </c>
      <c r="H401" s="14">
        <v>46006.0</v>
      </c>
      <c r="I401" s="14">
        <v>46006.0</v>
      </c>
      <c r="J401" s="8">
        <v>-102.0</v>
      </c>
      <c r="K401" s="15">
        <v>-19699.25</v>
      </c>
      <c r="L401" s="15">
        <v>-19699.25</v>
      </c>
      <c r="M401" s="15">
        <v>3.5689389771E8</v>
      </c>
    </row>
    <row r="402" ht="13.5" customHeight="1" outlineLevel="3">
      <c r="A402" s="7" t="s">
        <v>389</v>
      </c>
      <c r="B402" s="7" t="s">
        <v>390</v>
      </c>
      <c r="C402" s="7" t="s">
        <v>45</v>
      </c>
      <c r="D402" s="7" t="s">
        <v>27</v>
      </c>
      <c r="E402" s="7" t="s">
        <v>19</v>
      </c>
      <c r="F402" s="7" t="s">
        <v>20</v>
      </c>
      <c r="G402" s="7" t="s">
        <v>458</v>
      </c>
      <c r="H402" s="14">
        <v>46056.0</v>
      </c>
      <c r="I402" s="14">
        <v>46056.0</v>
      </c>
      <c r="J402" s="8">
        <v>-54.0</v>
      </c>
      <c r="K402" s="15">
        <v>-18936.4</v>
      </c>
      <c r="L402" s="15">
        <v>-18936.4</v>
      </c>
      <c r="M402" s="15">
        <v>3.5687496131E8</v>
      </c>
    </row>
    <row r="403" ht="13.5" customHeight="1" outlineLevel="3">
      <c r="A403" s="7" t="s">
        <v>389</v>
      </c>
      <c r="B403" s="7" t="s">
        <v>390</v>
      </c>
      <c r="C403" s="7" t="s">
        <v>45</v>
      </c>
      <c r="D403" s="7" t="s">
        <v>27</v>
      </c>
      <c r="E403" s="7" t="s">
        <v>19</v>
      </c>
      <c r="F403" s="7" t="s">
        <v>20</v>
      </c>
      <c r="G403" s="7" t="s">
        <v>459</v>
      </c>
      <c r="H403" s="14">
        <v>46058.0</v>
      </c>
      <c r="I403" s="14">
        <v>46058.0</v>
      </c>
      <c r="J403" s="8">
        <v>-52.0</v>
      </c>
      <c r="K403" s="15">
        <v>-1860446.0</v>
      </c>
      <c r="L403" s="15">
        <v>-1860446.0</v>
      </c>
      <c r="M403" s="15">
        <v>3.5501451531E8</v>
      </c>
    </row>
    <row r="404" ht="13.5" customHeight="1" outlineLevel="2">
      <c r="A404" s="7"/>
      <c r="B404" s="7"/>
      <c r="C404" s="7"/>
      <c r="D404" s="7"/>
      <c r="E404" s="16" t="s">
        <v>22</v>
      </c>
      <c r="F404" s="7"/>
      <c r="G404" s="7"/>
      <c r="H404" s="14"/>
      <c r="I404" s="14"/>
      <c r="J404" s="8"/>
      <c r="K404" s="15">
        <f t="shared" ref="K404:L404" si="91">SUBTOTAL(9,K335:K403)</f>
        <v>355014515.3</v>
      </c>
      <c r="L404" s="15">
        <f t="shared" si="91"/>
        <v>355014515.3</v>
      </c>
      <c r="M404" s="15"/>
    </row>
    <row r="405" ht="13.5" customHeight="1" outlineLevel="1">
      <c r="A405" s="16" t="s">
        <v>460</v>
      </c>
      <c r="B405" s="7"/>
      <c r="C405" s="7"/>
      <c r="D405" s="7"/>
      <c r="E405" s="7"/>
      <c r="F405" s="7"/>
      <c r="G405" s="7"/>
      <c r="H405" s="14"/>
      <c r="I405" s="14"/>
      <c r="J405" s="8"/>
      <c r="K405" s="15">
        <f t="shared" ref="K405:L405" si="92">SUBTOTAL(9,K335:K403)</f>
        <v>355014515.3</v>
      </c>
      <c r="L405" s="15">
        <f t="shared" si="92"/>
        <v>355014515.3</v>
      </c>
      <c r="M405" s="15"/>
    </row>
    <row r="406" ht="13.5" customHeight="1" outlineLevel="3">
      <c r="A406" s="7" t="s">
        <v>461</v>
      </c>
      <c r="B406" s="7" t="s">
        <v>462</v>
      </c>
      <c r="C406" s="7" t="s">
        <v>26</v>
      </c>
      <c r="D406" s="7" t="s">
        <v>27</v>
      </c>
      <c r="E406" s="7" t="s">
        <v>19</v>
      </c>
      <c r="F406" s="7" t="s">
        <v>20</v>
      </c>
      <c r="G406" s="7" t="s">
        <v>463</v>
      </c>
      <c r="H406" s="14">
        <v>46070.0</v>
      </c>
      <c r="I406" s="14">
        <v>46129.0</v>
      </c>
      <c r="J406" s="8">
        <v>20.0</v>
      </c>
      <c r="K406" s="15">
        <v>706432.7</v>
      </c>
      <c r="L406" s="15">
        <v>0.0</v>
      </c>
      <c r="M406" s="15">
        <v>0.0</v>
      </c>
    </row>
    <row r="407" ht="13.5" customHeight="1" outlineLevel="3">
      <c r="A407" s="7" t="s">
        <v>461</v>
      </c>
      <c r="B407" s="7" t="s">
        <v>462</v>
      </c>
      <c r="C407" s="7" t="s">
        <v>26</v>
      </c>
      <c r="D407" s="7" t="s">
        <v>27</v>
      </c>
      <c r="E407" s="7" t="s">
        <v>19</v>
      </c>
      <c r="F407" s="7" t="s">
        <v>20</v>
      </c>
      <c r="G407" s="7" t="s">
        <v>464</v>
      </c>
      <c r="H407" s="14">
        <v>46070.0</v>
      </c>
      <c r="I407" s="14">
        <v>46129.0</v>
      </c>
      <c r="J407" s="8">
        <v>20.0</v>
      </c>
      <c r="K407" s="15">
        <v>706432.7</v>
      </c>
      <c r="L407" s="15">
        <v>0.0</v>
      </c>
      <c r="M407" s="15">
        <v>0.0</v>
      </c>
    </row>
    <row r="408" ht="13.5" customHeight="1" outlineLevel="2">
      <c r="A408" s="7"/>
      <c r="B408" s="7"/>
      <c r="C408" s="7"/>
      <c r="D408" s="7"/>
      <c r="E408" s="16" t="s">
        <v>22</v>
      </c>
      <c r="F408" s="7"/>
      <c r="G408" s="7"/>
      <c r="H408" s="14"/>
      <c r="I408" s="14"/>
      <c r="J408" s="8"/>
      <c r="K408" s="15">
        <f t="shared" ref="K408:L408" si="93">SUBTOTAL(9,K406:K407)</f>
        <v>1412865.4</v>
      </c>
      <c r="L408" s="15">
        <f t="shared" si="93"/>
        <v>0</v>
      </c>
      <c r="M408" s="15"/>
    </row>
    <row r="409" ht="13.5" customHeight="1" outlineLevel="1">
      <c r="A409" s="16" t="s">
        <v>465</v>
      </c>
      <c r="B409" s="7"/>
      <c r="C409" s="7"/>
      <c r="D409" s="7"/>
      <c r="E409" s="7"/>
      <c r="F409" s="7"/>
      <c r="G409" s="7"/>
      <c r="H409" s="14"/>
      <c r="I409" s="14"/>
      <c r="J409" s="8"/>
      <c r="K409" s="15">
        <f t="shared" ref="K409:L409" si="94">SUBTOTAL(9,K406:K407)</f>
        <v>1412865.4</v>
      </c>
      <c r="L409" s="15">
        <f t="shared" si="94"/>
        <v>0</v>
      </c>
      <c r="M409" s="15"/>
    </row>
    <row r="410" ht="13.5" customHeight="1" outlineLevel="3">
      <c r="A410" s="7" t="s">
        <v>466</v>
      </c>
      <c r="B410" s="7" t="s">
        <v>25</v>
      </c>
      <c r="C410" s="7" t="s">
        <v>42</v>
      </c>
      <c r="D410" s="7" t="s">
        <v>43</v>
      </c>
      <c r="E410" s="7" t="s">
        <v>19</v>
      </c>
      <c r="F410" s="7" t="s">
        <v>20</v>
      </c>
      <c r="G410" s="7" t="s">
        <v>467</v>
      </c>
      <c r="H410" s="14">
        <v>46058.0</v>
      </c>
      <c r="I410" s="14">
        <v>46100.0</v>
      </c>
      <c r="J410" s="8">
        <v>-8.0</v>
      </c>
      <c r="K410" s="15">
        <v>5168448.36</v>
      </c>
      <c r="L410" s="15">
        <v>5168448.36</v>
      </c>
      <c r="M410" s="15">
        <v>5168448.36</v>
      </c>
    </row>
    <row r="411" ht="13.5" customHeight="1" outlineLevel="3">
      <c r="A411" s="7" t="s">
        <v>466</v>
      </c>
      <c r="B411" s="7" t="s">
        <v>25</v>
      </c>
      <c r="C411" s="7" t="s">
        <v>42</v>
      </c>
      <c r="D411" s="7" t="s">
        <v>43</v>
      </c>
      <c r="E411" s="7" t="s">
        <v>19</v>
      </c>
      <c r="F411" s="7" t="s">
        <v>20</v>
      </c>
      <c r="G411" s="7" t="s">
        <v>468</v>
      </c>
      <c r="H411" s="14">
        <v>46058.0</v>
      </c>
      <c r="I411" s="14">
        <v>46100.0</v>
      </c>
      <c r="J411" s="8">
        <v>-8.0</v>
      </c>
      <c r="K411" s="15">
        <v>6517335.29</v>
      </c>
      <c r="L411" s="15">
        <v>6517335.29</v>
      </c>
      <c r="M411" s="15">
        <v>1.168578365E7</v>
      </c>
    </row>
    <row r="412" ht="13.5" customHeight="1" outlineLevel="3">
      <c r="A412" s="7" t="s">
        <v>466</v>
      </c>
      <c r="B412" s="7" t="s">
        <v>25</v>
      </c>
      <c r="C412" s="7" t="s">
        <v>42</v>
      </c>
      <c r="D412" s="7" t="s">
        <v>43</v>
      </c>
      <c r="E412" s="7" t="s">
        <v>19</v>
      </c>
      <c r="F412" s="7" t="s">
        <v>20</v>
      </c>
      <c r="G412" s="7" t="s">
        <v>469</v>
      </c>
      <c r="H412" s="14">
        <v>46064.0</v>
      </c>
      <c r="I412" s="14">
        <v>46106.0</v>
      </c>
      <c r="J412" s="8">
        <v>-2.0</v>
      </c>
      <c r="K412" s="15">
        <v>3743850.13</v>
      </c>
      <c r="L412" s="15">
        <v>3743850.13</v>
      </c>
      <c r="M412" s="15">
        <v>1.542963378E7</v>
      </c>
    </row>
    <row r="413" ht="13.5" customHeight="1" outlineLevel="3">
      <c r="A413" s="7" t="s">
        <v>466</v>
      </c>
      <c r="B413" s="7" t="s">
        <v>25</v>
      </c>
      <c r="C413" s="7" t="s">
        <v>42</v>
      </c>
      <c r="D413" s="7" t="s">
        <v>43</v>
      </c>
      <c r="E413" s="7" t="s">
        <v>19</v>
      </c>
      <c r="F413" s="7" t="s">
        <v>20</v>
      </c>
      <c r="G413" s="7" t="s">
        <v>470</v>
      </c>
      <c r="H413" s="14">
        <v>46071.0</v>
      </c>
      <c r="I413" s="14">
        <v>46114.0</v>
      </c>
      <c r="J413" s="8">
        <v>5.0</v>
      </c>
      <c r="K413" s="15">
        <v>8989590.73</v>
      </c>
      <c r="L413" s="15">
        <v>0.0</v>
      </c>
      <c r="M413" s="15">
        <v>1.542963378E7</v>
      </c>
    </row>
    <row r="414" ht="13.5" customHeight="1" outlineLevel="3">
      <c r="A414" s="7" t="s">
        <v>466</v>
      </c>
      <c r="B414" s="7" t="s">
        <v>25</v>
      </c>
      <c r="C414" s="7" t="s">
        <v>42</v>
      </c>
      <c r="D414" s="7" t="s">
        <v>43</v>
      </c>
      <c r="E414" s="7" t="s">
        <v>19</v>
      </c>
      <c r="F414" s="7" t="s">
        <v>20</v>
      </c>
      <c r="G414" s="7" t="s">
        <v>471</v>
      </c>
      <c r="H414" s="14">
        <v>46078.0</v>
      </c>
      <c r="I414" s="14">
        <v>46121.0</v>
      </c>
      <c r="J414" s="8">
        <v>12.0</v>
      </c>
      <c r="K414" s="15">
        <v>5461461.89</v>
      </c>
      <c r="L414" s="15">
        <v>0.0</v>
      </c>
      <c r="M414" s="15">
        <v>1.542963378E7</v>
      </c>
    </row>
    <row r="415" ht="13.5" customHeight="1" outlineLevel="3">
      <c r="A415" s="7" t="s">
        <v>466</v>
      </c>
      <c r="B415" s="7" t="s">
        <v>25</v>
      </c>
      <c r="C415" s="7" t="s">
        <v>42</v>
      </c>
      <c r="D415" s="7" t="s">
        <v>43</v>
      </c>
      <c r="E415" s="7" t="s">
        <v>19</v>
      </c>
      <c r="F415" s="7" t="s">
        <v>20</v>
      </c>
      <c r="G415" s="7" t="s">
        <v>472</v>
      </c>
      <c r="H415" s="14">
        <v>46090.0</v>
      </c>
      <c r="I415" s="14">
        <v>46135.0</v>
      </c>
      <c r="J415" s="8">
        <v>26.0</v>
      </c>
      <c r="K415" s="15">
        <v>3600297.5</v>
      </c>
      <c r="L415" s="15">
        <v>0.0</v>
      </c>
      <c r="M415" s="15">
        <v>1.542963378E7</v>
      </c>
    </row>
    <row r="416" ht="13.5" customHeight="1" outlineLevel="3">
      <c r="A416" s="7" t="s">
        <v>466</v>
      </c>
      <c r="B416" s="7" t="s">
        <v>25</v>
      </c>
      <c r="C416" s="7" t="s">
        <v>42</v>
      </c>
      <c r="D416" s="7" t="s">
        <v>43</v>
      </c>
      <c r="E416" s="7" t="s">
        <v>19</v>
      </c>
      <c r="F416" s="7" t="s">
        <v>20</v>
      </c>
      <c r="G416" s="7" t="s">
        <v>473</v>
      </c>
      <c r="H416" s="14">
        <v>46092.0</v>
      </c>
      <c r="I416" s="14">
        <v>46137.0</v>
      </c>
      <c r="J416" s="8">
        <v>28.0</v>
      </c>
      <c r="K416" s="15">
        <v>3695153.01</v>
      </c>
      <c r="L416" s="15">
        <v>0.0</v>
      </c>
      <c r="M416" s="15">
        <v>1.542963378E7</v>
      </c>
    </row>
    <row r="417" ht="13.5" customHeight="1" outlineLevel="3">
      <c r="A417" s="7" t="s">
        <v>466</v>
      </c>
      <c r="B417" s="7" t="s">
        <v>25</v>
      </c>
      <c r="C417" s="7" t="s">
        <v>42</v>
      </c>
      <c r="D417" s="7" t="s">
        <v>43</v>
      </c>
      <c r="E417" s="7" t="s">
        <v>19</v>
      </c>
      <c r="F417" s="7" t="s">
        <v>20</v>
      </c>
      <c r="G417" s="7" t="s">
        <v>474</v>
      </c>
      <c r="H417" s="14">
        <v>46092.0</v>
      </c>
      <c r="I417" s="14">
        <v>46137.0</v>
      </c>
      <c r="J417" s="8">
        <v>28.0</v>
      </c>
      <c r="K417" s="15">
        <v>3493902.39</v>
      </c>
      <c r="L417" s="15">
        <v>0.0</v>
      </c>
      <c r="M417" s="15">
        <v>1.542963378E7</v>
      </c>
    </row>
    <row r="418" ht="13.5" customHeight="1" outlineLevel="3">
      <c r="A418" s="7" t="s">
        <v>466</v>
      </c>
      <c r="B418" s="7" t="s">
        <v>25</v>
      </c>
      <c r="C418" s="7" t="s">
        <v>42</v>
      </c>
      <c r="D418" s="7" t="s">
        <v>43</v>
      </c>
      <c r="E418" s="7" t="s">
        <v>19</v>
      </c>
      <c r="F418" s="7" t="s">
        <v>20</v>
      </c>
      <c r="G418" s="7" t="s">
        <v>475</v>
      </c>
      <c r="H418" s="14">
        <v>46100.0</v>
      </c>
      <c r="I418" s="14">
        <v>46145.0</v>
      </c>
      <c r="J418" s="8">
        <v>36.0</v>
      </c>
      <c r="K418" s="15">
        <v>9234968.79</v>
      </c>
      <c r="L418" s="15">
        <v>0.0</v>
      </c>
      <c r="M418" s="15">
        <v>1.542963378E7</v>
      </c>
    </row>
    <row r="419" ht="13.5" customHeight="1" outlineLevel="3">
      <c r="A419" s="7" t="s">
        <v>466</v>
      </c>
      <c r="B419" s="7" t="s">
        <v>25</v>
      </c>
      <c r="C419" s="7" t="s">
        <v>42</v>
      </c>
      <c r="D419" s="7" t="s">
        <v>43</v>
      </c>
      <c r="E419" s="7" t="s">
        <v>19</v>
      </c>
      <c r="F419" s="7" t="s">
        <v>20</v>
      </c>
      <c r="G419" s="7" t="s">
        <v>476</v>
      </c>
      <c r="H419" s="14">
        <v>46106.0</v>
      </c>
      <c r="I419" s="14">
        <v>46151.0</v>
      </c>
      <c r="J419" s="8">
        <v>42.0</v>
      </c>
      <c r="K419" s="15">
        <v>1.997706703E7</v>
      </c>
      <c r="L419" s="15">
        <v>0.0</v>
      </c>
      <c r="M419" s="15">
        <v>1.542963378E7</v>
      </c>
    </row>
    <row r="420" ht="13.5" customHeight="1" outlineLevel="2">
      <c r="A420" s="7"/>
      <c r="B420" s="7"/>
      <c r="C420" s="7"/>
      <c r="D420" s="7"/>
      <c r="E420" s="16" t="s">
        <v>22</v>
      </c>
      <c r="F420" s="7"/>
      <c r="G420" s="7"/>
      <c r="H420" s="14"/>
      <c r="I420" s="14"/>
      <c r="J420" s="8"/>
      <c r="K420" s="15">
        <f t="shared" ref="K420:L420" si="95">SUBTOTAL(9,K410:K419)</f>
        <v>69882075.12</v>
      </c>
      <c r="L420" s="15">
        <f t="shared" si="95"/>
        <v>15429633.78</v>
      </c>
      <c r="M420" s="15"/>
    </row>
    <row r="421" ht="13.5" customHeight="1" outlineLevel="1">
      <c r="A421" s="16" t="s">
        <v>477</v>
      </c>
      <c r="B421" s="7"/>
      <c r="C421" s="7"/>
      <c r="D421" s="7"/>
      <c r="E421" s="7"/>
      <c r="F421" s="7"/>
      <c r="G421" s="7"/>
      <c r="H421" s="14"/>
      <c r="I421" s="14"/>
      <c r="J421" s="8"/>
      <c r="K421" s="15">
        <f t="shared" ref="K421:L421" si="96">SUBTOTAL(9,K410:K419)</f>
        <v>69882075.12</v>
      </c>
      <c r="L421" s="15">
        <f t="shared" si="96"/>
        <v>15429633.78</v>
      </c>
      <c r="M421" s="15"/>
    </row>
    <row r="422" ht="13.5" customHeight="1" outlineLevel="3">
      <c r="A422" s="7" t="s">
        <v>478</v>
      </c>
      <c r="B422" s="7" t="s">
        <v>41</v>
      </c>
      <c r="C422" s="7" t="s">
        <v>26</v>
      </c>
      <c r="D422" s="7" t="s">
        <v>27</v>
      </c>
      <c r="E422" s="7" t="s">
        <v>19</v>
      </c>
      <c r="F422" s="7" t="s">
        <v>20</v>
      </c>
      <c r="G422" s="7" t="s">
        <v>479</v>
      </c>
      <c r="H422" s="14">
        <v>46057.0</v>
      </c>
      <c r="I422" s="14">
        <v>46084.0</v>
      </c>
      <c r="J422" s="8">
        <v>-24.0</v>
      </c>
      <c r="K422" s="15">
        <v>563125.85</v>
      </c>
      <c r="L422" s="15">
        <v>563125.85</v>
      </c>
      <c r="M422" s="15">
        <v>563125.85</v>
      </c>
    </row>
    <row r="423" ht="13.5" customHeight="1" outlineLevel="3">
      <c r="A423" s="7" t="s">
        <v>478</v>
      </c>
      <c r="B423" s="7" t="s">
        <v>41</v>
      </c>
      <c r="C423" s="7" t="s">
        <v>26</v>
      </c>
      <c r="D423" s="7" t="s">
        <v>27</v>
      </c>
      <c r="E423" s="7" t="s">
        <v>19</v>
      </c>
      <c r="F423" s="7" t="s">
        <v>20</v>
      </c>
      <c r="G423" s="7" t="s">
        <v>480</v>
      </c>
      <c r="H423" s="14">
        <v>46085.0</v>
      </c>
      <c r="I423" s="14">
        <v>46115.0</v>
      </c>
      <c r="J423" s="8">
        <v>6.0</v>
      </c>
      <c r="K423" s="15">
        <v>1145097.59</v>
      </c>
      <c r="L423" s="15">
        <v>0.0</v>
      </c>
      <c r="M423" s="15">
        <v>563125.85</v>
      </c>
    </row>
    <row r="424" ht="13.5" customHeight="1" outlineLevel="2">
      <c r="A424" s="7"/>
      <c r="B424" s="7"/>
      <c r="C424" s="7"/>
      <c r="D424" s="7"/>
      <c r="E424" s="16" t="s">
        <v>22</v>
      </c>
      <c r="F424" s="7"/>
      <c r="G424" s="7"/>
      <c r="H424" s="14"/>
      <c r="I424" s="14"/>
      <c r="J424" s="8"/>
      <c r="K424" s="15">
        <f t="shared" ref="K424:L424" si="97">SUBTOTAL(9,K422:K423)</f>
        <v>1708223.44</v>
      </c>
      <c r="L424" s="15">
        <f t="shared" si="97"/>
        <v>563125.85</v>
      </c>
      <c r="M424" s="15"/>
    </row>
    <row r="425" ht="13.5" customHeight="1" outlineLevel="1">
      <c r="A425" s="16" t="s">
        <v>481</v>
      </c>
      <c r="B425" s="7"/>
      <c r="C425" s="7"/>
      <c r="D425" s="7"/>
      <c r="E425" s="7"/>
      <c r="F425" s="7"/>
      <c r="G425" s="7"/>
      <c r="H425" s="14"/>
      <c r="I425" s="14"/>
      <c r="J425" s="8"/>
      <c r="K425" s="15">
        <f t="shared" ref="K425:L425" si="98">SUBTOTAL(9,K422:K423)</f>
        <v>1708223.44</v>
      </c>
      <c r="L425" s="15">
        <f t="shared" si="98"/>
        <v>563125.85</v>
      </c>
      <c r="M425" s="15"/>
    </row>
    <row r="426" ht="13.5" customHeight="1" outlineLevel="3">
      <c r="A426" s="7" t="s">
        <v>482</v>
      </c>
      <c r="B426" s="7" t="s">
        <v>25</v>
      </c>
      <c r="C426" s="7" t="s">
        <v>73</v>
      </c>
      <c r="D426" s="7" t="s">
        <v>66</v>
      </c>
      <c r="E426" s="7" t="s">
        <v>19</v>
      </c>
      <c r="F426" s="7" t="s">
        <v>20</v>
      </c>
      <c r="G426" s="7" t="s">
        <v>483</v>
      </c>
      <c r="H426" s="14">
        <v>43406.0</v>
      </c>
      <c r="I426" s="14">
        <v>43466.0</v>
      </c>
      <c r="J426" s="8">
        <v>-2606.0</v>
      </c>
      <c r="K426" s="15">
        <v>92980.01</v>
      </c>
      <c r="L426" s="15">
        <v>92980.01</v>
      </c>
      <c r="M426" s="15">
        <v>92980.01</v>
      </c>
    </row>
    <row r="427" ht="13.5" customHeight="1" outlineLevel="3">
      <c r="A427" s="7" t="s">
        <v>482</v>
      </c>
      <c r="B427" s="7" t="s">
        <v>25</v>
      </c>
      <c r="C427" s="7" t="s">
        <v>73</v>
      </c>
      <c r="D427" s="7" t="s">
        <v>66</v>
      </c>
      <c r="E427" s="7" t="s">
        <v>19</v>
      </c>
      <c r="F427" s="7" t="s">
        <v>20</v>
      </c>
      <c r="G427" s="7" t="s">
        <v>484</v>
      </c>
      <c r="H427" s="14">
        <v>43413.0</v>
      </c>
      <c r="I427" s="14">
        <v>43473.0</v>
      </c>
      <c r="J427" s="8">
        <v>-2599.0</v>
      </c>
      <c r="K427" s="15">
        <v>3278400.36</v>
      </c>
      <c r="L427" s="15">
        <v>3278400.36</v>
      </c>
      <c r="M427" s="15">
        <v>3371380.37</v>
      </c>
    </row>
    <row r="428" ht="13.5" customHeight="1" outlineLevel="3">
      <c r="A428" s="7" t="s">
        <v>482</v>
      </c>
      <c r="B428" s="7" t="s">
        <v>25</v>
      </c>
      <c r="C428" s="7" t="s">
        <v>73</v>
      </c>
      <c r="D428" s="7" t="s">
        <v>66</v>
      </c>
      <c r="E428" s="7" t="s">
        <v>19</v>
      </c>
      <c r="F428" s="7" t="s">
        <v>20</v>
      </c>
      <c r="G428" s="7" t="s">
        <v>485</v>
      </c>
      <c r="H428" s="14">
        <v>43434.0</v>
      </c>
      <c r="I428" s="14">
        <v>43494.0</v>
      </c>
      <c r="J428" s="8">
        <v>-2578.0</v>
      </c>
      <c r="K428" s="15">
        <v>929390.0</v>
      </c>
      <c r="L428" s="15">
        <v>929390.0</v>
      </c>
      <c r="M428" s="15">
        <v>4300770.37</v>
      </c>
    </row>
    <row r="429" ht="13.5" customHeight="1" outlineLevel="3">
      <c r="A429" s="7" t="s">
        <v>482</v>
      </c>
      <c r="B429" s="7" t="s">
        <v>25</v>
      </c>
      <c r="C429" s="7" t="s">
        <v>73</v>
      </c>
      <c r="D429" s="7" t="s">
        <v>66</v>
      </c>
      <c r="E429" s="7" t="s">
        <v>19</v>
      </c>
      <c r="F429" s="7" t="s">
        <v>20</v>
      </c>
      <c r="G429" s="7" t="s">
        <v>486</v>
      </c>
      <c r="H429" s="14">
        <v>43438.0</v>
      </c>
      <c r="I429" s="14">
        <v>43499.0</v>
      </c>
      <c r="J429" s="8">
        <v>-2574.0</v>
      </c>
      <c r="K429" s="15">
        <v>7757380.71</v>
      </c>
      <c r="L429" s="15">
        <v>7757380.71</v>
      </c>
      <c r="M429" s="15">
        <v>1.205815108E7</v>
      </c>
    </row>
    <row r="430" ht="13.5" customHeight="1" outlineLevel="3">
      <c r="A430" s="7" t="s">
        <v>482</v>
      </c>
      <c r="B430" s="7" t="s">
        <v>25</v>
      </c>
      <c r="C430" s="7" t="s">
        <v>73</v>
      </c>
      <c r="D430" s="7" t="s">
        <v>66</v>
      </c>
      <c r="E430" s="7" t="s">
        <v>19</v>
      </c>
      <c r="F430" s="7" t="s">
        <v>20</v>
      </c>
      <c r="G430" s="7" t="s">
        <v>487</v>
      </c>
      <c r="H430" s="14">
        <v>43448.0</v>
      </c>
      <c r="I430" s="14">
        <v>43509.0</v>
      </c>
      <c r="J430" s="8">
        <v>-2564.0</v>
      </c>
      <c r="K430" s="15">
        <v>6418325.52</v>
      </c>
      <c r="L430" s="15">
        <v>6418325.52</v>
      </c>
      <c r="M430" s="15">
        <v>1.84764766E7</v>
      </c>
    </row>
    <row r="431" ht="13.5" customHeight="1" outlineLevel="3">
      <c r="A431" s="7" t="s">
        <v>482</v>
      </c>
      <c r="B431" s="7" t="s">
        <v>25</v>
      </c>
      <c r="C431" s="7" t="s">
        <v>73</v>
      </c>
      <c r="D431" s="7" t="s">
        <v>66</v>
      </c>
      <c r="E431" s="7" t="s">
        <v>19</v>
      </c>
      <c r="F431" s="7" t="s">
        <v>20</v>
      </c>
      <c r="G431" s="7" t="s">
        <v>488</v>
      </c>
      <c r="H431" s="14">
        <v>43788.0</v>
      </c>
      <c r="I431" s="14">
        <v>43848.0</v>
      </c>
      <c r="J431" s="8">
        <v>-2229.0</v>
      </c>
      <c r="K431" s="15">
        <v>97253.74</v>
      </c>
      <c r="L431" s="15">
        <v>97253.74</v>
      </c>
      <c r="M431" s="15">
        <v>1.857373034E7</v>
      </c>
    </row>
    <row r="432" ht="13.5" customHeight="1" outlineLevel="3">
      <c r="A432" s="7" t="s">
        <v>482</v>
      </c>
      <c r="B432" s="7" t="s">
        <v>25</v>
      </c>
      <c r="C432" s="7" t="s">
        <v>73</v>
      </c>
      <c r="D432" s="7" t="s">
        <v>66</v>
      </c>
      <c r="E432" s="7" t="s">
        <v>19</v>
      </c>
      <c r="F432" s="7" t="s">
        <v>20</v>
      </c>
      <c r="G432" s="7" t="s">
        <v>489</v>
      </c>
      <c r="H432" s="14">
        <v>43794.0</v>
      </c>
      <c r="I432" s="14">
        <v>43854.0</v>
      </c>
      <c r="J432" s="8">
        <v>-2223.0</v>
      </c>
      <c r="K432" s="15">
        <v>222054.0</v>
      </c>
      <c r="L432" s="15">
        <v>222054.0</v>
      </c>
      <c r="M432" s="15">
        <v>1.879578434E7</v>
      </c>
    </row>
    <row r="433" ht="13.5" customHeight="1" outlineLevel="3">
      <c r="A433" s="7" t="s">
        <v>482</v>
      </c>
      <c r="B433" s="7" t="s">
        <v>25</v>
      </c>
      <c r="C433" s="7" t="s">
        <v>73</v>
      </c>
      <c r="D433" s="7" t="s">
        <v>66</v>
      </c>
      <c r="E433" s="7" t="s">
        <v>19</v>
      </c>
      <c r="F433" s="7" t="s">
        <v>20</v>
      </c>
      <c r="G433" s="7" t="s">
        <v>490</v>
      </c>
      <c r="H433" s="14">
        <v>43805.0</v>
      </c>
      <c r="I433" s="14">
        <v>43866.0</v>
      </c>
      <c r="J433" s="8">
        <v>-2212.0</v>
      </c>
      <c r="K433" s="15">
        <v>2494884.6</v>
      </c>
      <c r="L433" s="15">
        <v>2494884.6</v>
      </c>
      <c r="M433" s="15">
        <v>2.129066894E7</v>
      </c>
    </row>
    <row r="434" ht="13.5" customHeight="1" outlineLevel="3">
      <c r="A434" s="7" t="s">
        <v>482</v>
      </c>
      <c r="B434" s="7" t="s">
        <v>25</v>
      </c>
      <c r="C434" s="7" t="s">
        <v>73</v>
      </c>
      <c r="D434" s="7" t="s">
        <v>66</v>
      </c>
      <c r="E434" s="7" t="s">
        <v>19</v>
      </c>
      <c r="F434" s="7" t="s">
        <v>20</v>
      </c>
      <c r="G434" s="7" t="s">
        <v>491</v>
      </c>
      <c r="H434" s="14">
        <v>43810.0</v>
      </c>
      <c r="I434" s="14">
        <v>43871.0</v>
      </c>
      <c r="J434" s="8">
        <v>-2207.0</v>
      </c>
      <c r="K434" s="15">
        <v>275264.85</v>
      </c>
      <c r="L434" s="15">
        <v>275264.85</v>
      </c>
      <c r="M434" s="15">
        <v>2.156593379E7</v>
      </c>
    </row>
    <row r="435" ht="13.5" customHeight="1" outlineLevel="3">
      <c r="A435" s="7" t="s">
        <v>482</v>
      </c>
      <c r="B435" s="7" t="s">
        <v>25</v>
      </c>
      <c r="C435" s="7" t="s">
        <v>73</v>
      </c>
      <c r="D435" s="7" t="s">
        <v>66</v>
      </c>
      <c r="E435" s="7" t="s">
        <v>19</v>
      </c>
      <c r="F435" s="7" t="s">
        <v>20</v>
      </c>
      <c r="G435" s="7" t="s">
        <v>492</v>
      </c>
      <c r="H435" s="14">
        <v>43816.0</v>
      </c>
      <c r="I435" s="14">
        <v>43877.0</v>
      </c>
      <c r="J435" s="8">
        <v>-2201.0</v>
      </c>
      <c r="K435" s="15">
        <v>1319668.66</v>
      </c>
      <c r="L435" s="15">
        <v>1319668.66</v>
      </c>
      <c r="M435" s="15">
        <v>2.288560245E7</v>
      </c>
    </row>
    <row r="436" ht="13.5" customHeight="1" outlineLevel="3">
      <c r="A436" s="7" t="s">
        <v>482</v>
      </c>
      <c r="B436" s="7" t="s">
        <v>25</v>
      </c>
      <c r="C436" s="7" t="s">
        <v>73</v>
      </c>
      <c r="D436" s="7" t="s">
        <v>66</v>
      </c>
      <c r="E436" s="7" t="s">
        <v>19</v>
      </c>
      <c r="F436" s="7" t="s">
        <v>20</v>
      </c>
      <c r="G436" s="7" t="s">
        <v>493</v>
      </c>
      <c r="H436" s="14">
        <v>43816.0</v>
      </c>
      <c r="I436" s="14">
        <v>43877.0</v>
      </c>
      <c r="J436" s="8">
        <v>-2201.0</v>
      </c>
      <c r="K436" s="15">
        <v>1584842.0</v>
      </c>
      <c r="L436" s="15">
        <v>1584842.0</v>
      </c>
      <c r="M436" s="15">
        <v>2.447044445E7</v>
      </c>
    </row>
    <row r="437" ht="13.5" customHeight="1" outlineLevel="3">
      <c r="A437" s="7" t="s">
        <v>482</v>
      </c>
      <c r="B437" s="7" t="s">
        <v>25</v>
      </c>
      <c r="C437" s="7" t="s">
        <v>73</v>
      </c>
      <c r="D437" s="7" t="s">
        <v>66</v>
      </c>
      <c r="E437" s="7" t="s">
        <v>19</v>
      </c>
      <c r="F437" s="7" t="s">
        <v>20</v>
      </c>
      <c r="G437" s="7" t="s">
        <v>494</v>
      </c>
      <c r="H437" s="14">
        <v>43816.0</v>
      </c>
      <c r="I437" s="14">
        <v>43877.0</v>
      </c>
      <c r="J437" s="8">
        <v>-2201.0</v>
      </c>
      <c r="K437" s="15">
        <v>1633275.0</v>
      </c>
      <c r="L437" s="15">
        <v>1633275.0</v>
      </c>
      <c r="M437" s="15">
        <v>2.610371945E7</v>
      </c>
    </row>
    <row r="438" ht="13.5" customHeight="1" outlineLevel="3">
      <c r="A438" s="7" t="s">
        <v>482</v>
      </c>
      <c r="B438" s="7" t="s">
        <v>25</v>
      </c>
      <c r="C438" s="7" t="s">
        <v>45</v>
      </c>
      <c r="D438" s="7" t="s">
        <v>66</v>
      </c>
      <c r="E438" s="7" t="s">
        <v>19</v>
      </c>
      <c r="F438" s="7" t="s">
        <v>20</v>
      </c>
      <c r="G438" s="7" t="s">
        <v>495</v>
      </c>
      <c r="H438" s="14">
        <v>43816.0</v>
      </c>
      <c r="I438" s="14">
        <v>43877.0</v>
      </c>
      <c r="J438" s="8">
        <v>-2201.0</v>
      </c>
      <c r="K438" s="15">
        <v>763782.84</v>
      </c>
      <c r="L438" s="15">
        <v>763782.84</v>
      </c>
      <c r="M438" s="15">
        <v>2.686750229E7</v>
      </c>
    </row>
    <row r="439" ht="13.5" customHeight="1" outlineLevel="2">
      <c r="A439" s="7"/>
      <c r="B439" s="7"/>
      <c r="C439" s="7"/>
      <c r="D439" s="7"/>
      <c r="E439" s="16" t="s">
        <v>22</v>
      </c>
      <c r="F439" s="7"/>
      <c r="G439" s="7"/>
      <c r="H439" s="14"/>
      <c r="I439" s="14"/>
      <c r="J439" s="8"/>
      <c r="K439" s="15">
        <f t="shared" ref="K439:L439" si="99">SUBTOTAL(9,K426:K438)</f>
        <v>26867502.29</v>
      </c>
      <c r="L439" s="15">
        <f t="shared" si="99"/>
        <v>26867502.29</v>
      </c>
      <c r="M439" s="15"/>
    </row>
    <row r="440" ht="13.5" customHeight="1" outlineLevel="1">
      <c r="A440" s="16" t="s">
        <v>496</v>
      </c>
      <c r="B440" s="7"/>
      <c r="C440" s="7"/>
      <c r="D440" s="7"/>
      <c r="E440" s="7"/>
      <c r="F440" s="7"/>
      <c r="G440" s="7"/>
      <c r="H440" s="14"/>
      <c r="I440" s="14"/>
      <c r="J440" s="8"/>
      <c r="K440" s="15">
        <f t="shared" ref="K440:L440" si="100">SUBTOTAL(9,K426:K438)</f>
        <v>26867502.29</v>
      </c>
      <c r="L440" s="15">
        <f t="shared" si="100"/>
        <v>26867502.29</v>
      </c>
      <c r="M440" s="15"/>
    </row>
    <row r="441" ht="13.5" customHeight="1" outlineLevel="3">
      <c r="A441" s="7" t="s">
        <v>497</v>
      </c>
      <c r="B441" s="7" t="s">
        <v>498</v>
      </c>
      <c r="C441" s="7" t="s">
        <v>118</v>
      </c>
      <c r="D441" s="7" t="s">
        <v>499</v>
      </c>
      <c r="E441" s="7" t="s">
        <v>19</v>
      </c>
      <c r="F441" s="7" t="s">
        <v>20</v>
      </c>
      <c r="G441" s="7" t="s">
        <v>500</v>
      </c>
      <c r="H441" s="14">
        <v>46041.0</v>
      </c>
      <c r="I441" s="14">
        <v>46099.0</v>
      </c>
      <c r="J441" s="8">
        <v>-9.0</v>
      </c>
      <c r="K441" s="15">
        <v>8314669.07</v>
      </c>
      <c r="L441" s="15">
        <v>8314669.07</v>
      </c>
      <c r="M441" s="15">
        <v>8314669.07</v>
      </c>
    </row>
    <row r="442" ht="13.5" customHeight="1" outlineLevel="3">
      <c r="A442" s="7" t="s">
        <v>497</v>
      </c>
      <c r="B442" s="7" t="s">
        <v>498</v>
      </c>
      <c r="C442" s="7" t="s">
        <v>118</v>
      </c>
      <c r="D442" s="7" t="s">
        <v>499</v>
      </c>
      <c r="E442" s="7" t="s">
        <v>19</v>
      </c>
      <c r="F442" s="7" t="s">
        <v>20</v>
      </c>
      <c r="G442" s="7" t="s">
        <v>501</v>
      </c>
      <c r="H442" s="14">
        <v>46042.0</v>
      </c>
      <c r="I442" s="14">
        <v>46100.0</v>
      </c>
      <c r="J442" s="8">
        <v>-8.0</v>
      </c>
      <c r="K442" s="15">
        <v>2070490.42</v>
      </c>
      <c r="L442" s="15">
        <v>2070490.42</v>
      </c>
      <c r="M442" s="15">
        <v>1.038515949E7</v>
      </c>
    </row>
    <row r="443" ht="13.5" customHeight="1" outlineLevel="3">
      <c r="A443" s="7" t="s">
        <v>497</v>
      </c>
      <c r="B443" s="7" t="s">
        <v>498</v>
      </c>
      <c r="C443" s="7" t="s">
        <v>118</v>
      </c>
      <c r="D443" s="7" t="s">
        <v>499</v>
      </c>
      <c r="E443" s="7" t="s">
        <v>19</v>
      </c>
      <c r="F443" s="7" t="s">
        <v>20</v>
      </c>
      <c r="G443" s="7" t="s">
        <v>502</v>
      </c>
      <c r="H443" s="14">
        <v>46050.0</v>
      </c>
      <c r="I443" s="14">
        <v>46108.0</v>
      </c>
      <c r="J443" s="8">
        <v>0.0</v>
      </c>
      <c r="K443" s="15">
        <v>1.702304755E7</v>
      </c>
      <c r="L443" s="15">
        <v>0.0</v>
      </c>
      <c r="M443" s="15">
        <v>1.038515949E7</v>
      </c>
    </row>
    <row r="444" ht="13.5" customHeight="1" outlineLevel="3">
      <c r="A444" s="7" t="s">
        <v>497</v>
      </c>
      <c r="B444" s="7" t="s">
        <v>498</v>
      </c>
      <c r="C444" s="7" t="s">
        <v>118</v>
      </c>
      <c r="D444" s="7" t="s">
        <v>499</v>
      </c>
      <c r="E444" s="7" t="s">
        <v>19</v>
      </c>
      <c r="F444" s="7" t="s">
        <v>20</v>
      </c>
      <c r="G444" s="7" t="s">
        <v>503</v>
      </c>
      <c r="H444" s="14">
        <v>46051.0</v>
      </c>
      <c r="I444" s="14">
        <v>46109.0</v>
      </c>
      <c r="J444" s="8">
        <v>1.0</v>
      </c>
      <c r="K444" s="15">
        <v>2581043.52</v>
      </c>
      <c r="L444" s="15">
        <v>0.0</v>
      </c>
      <c r="M444" s="15">
        <v>1.038515949E7</v>
      </c>
    </row>
    <row r="445" ht="13.5" customHeight="1" outlineLevel="3">
      <c r="A445" s="7" t="s">
        <v>497</v>
      </c>
      <c r="B445" s="7" t="s">
        <v>498</v>
      </c>
      <c r="C445" s="7" t="s">
        <v>45</v>
      </c>
      <c r="D445" s="7" t="s">
        <v>499</v>
      </c>
      <c r="E445" s="7" t="s">
        <v>19</v>
      </c>
      <c r="F445" s="7" t="s">
        <v>20</v>
      </c>
      <c r="G445" s="7" t="s">
        <v>504</v>
      </c>
      <c r="H445" s="14">
        <v>46056.0</v>
      </c>
      <c r="I445" s="14">
        <v>46114.0</v>
      </c>
      <c r="J445" s="8">
        <v>5.0</v>
      </c>
      <c r="K445" s="15">
        <v>1.527762592E7</v>
      </c>
      <c r="L445" s="15">
        <v>0.0</v>
      </c>
      <c r="M445" s="15">
        <v>1.038515949E7</v>
      </c>
    </row>
    <row r="446" ht="13.5" customHeight="1" outlineLevel="3">
      <c r="A446" s="7" t="s">
        <v>497</v>
      </c>
      <c r="B446" s="7" t="s">
        <v>498</v>
      </c>
      <c r="C446" s="7" t="s">
        <v>118</v>
      </c>
      <c r="D446" s="7" t="s">
        <v>499</v>
      </c>
      <c r="E446" s="7" t="s">
        <v>19</v>
      </c>
      <c r="F446" s="7" t="s">
        <v>20</v>
      </c>
      <c r="G446" s="7" t="s">
        <v>505</v>
      </c>
      <c r="H446" s="14">
        <v>46058.0</v>
      </c>
      <c r="I446" s="14">
        <v>46116.0</v>
      </c>
      <c r="J446" s="8">
        <v>7.0</v>
      </c>
      <c r="K446" s="15">
        <v>634400.75</v>
      </c>
      <c r="L446" s="15">
        <v>0.0</v>
      </c>
      <c r="M446" s="15">
        <v>1.038515949E7</v>
      </c>
    </row>
    <row r="447" ht="13.5" customHeight="1" outlineLevel="3">
      <c r="A447" s="7" t="s">
        <v>497</v>
      </c>
      <c r="B447" s="7" t="s">
        <v>498</v>
      </c>
      <c r="C447" s="7" t="s">
        <v>118</v>
      </c>
      <c r="D447" s="7" t="s">
        <v>499</v>
      </c>
      <c r="E447" s="7" t="s">
        <v>19</v>
      </c>
      <c r="F447" s="7" t="s">
        <v>20</v>
      </c>
      <c r="G447" s="7" t="s">
        <v>506</v>
      </c>
      <c r="H447" s="14">
        <v>46062.0</v>
      </c>
      <c r="I447" s="14">
        <v>46120.0</v>
      </c>
      <c r="J447" s="8">
        <v>11.0</v>
      </c>
      <c r="K447" s="15">
        <v>8748538.35</v>
      </c>
      <c r="L447" s="15">
        <v>0.0</v>
      </c>
      <c r="M447" s="15">
        <v>1.038515949E7</v>
      </c>
    </row>
    <row r="448" ht="13.5" customHeight="1" outlineLevel="3">
      <c r="A448" s="7" t="s">
        <v>497</v>
      </c>
      <c r="B448" s="7" t="s">
        <v>498</v>
      </c>
      <c r="C448" s="7" t="s">
        <v>118</v>
      </c>
      <c r="D448" s="7" t="s">
        <v>499</v>
      </c>
      <c r="E448" s="7" t="s">
        <v>19</v>
      </c>
      <c r="F448" s="7" t="s">
        <v>20</v>
      </c>
      <c r="G448" s="7" t="s">
        <v>507</v>
      </c>
      <c r="H448" s="14">
        <v>46065.0</v>
      </c>
      <c r="I448" s="14">
        <v>46123.0</v>
      </c>
      <c r="J448" s="8">
        <v>14.0</v>
      </c>
      <c r="K448" s="15">
        <v>2454200.64</v>
      </c>
      <c r="L448" s="15">
        <v>0.0</v>
      </c>
      <c r="M448" s="15">
        <v>1.038515949E7</v>
      </c>
    </row>
    <row r="449" ht="13.5" customHeight="1" outlineLevel="3">
      <c r="A449" s="7" t="s">
        <v>497</v>
      </c>
      <c r="B449" s="7" t="s">
        <v>498</v>
      </c>
      <c r="C449" s="7" t="s">
        <v>118</v>
      </c>
      <c r="D449" s="7" t="s">
        <v>499</v>
      </c>
      <c r="E449" s="7" t="s">
        <v>19</v>
      </c>
      <c r="F449" s="7" t="s">
        <v>20</v>
      </c>
      <c r="G449" s="7" t="s">
        <v>508</v>
      </c>
      <c r="H449" s="14">
        <v>46070.0</v>
      </c>
      <c r="I449" s="14">
        <v>46128.0</v>
      </c>
      <c r="J449" s="8">
        <v>19.0</v>
      </c>
      <c r="K449" s="15">
        <v>3683119.52</v>
      </c>
      <c r="L449" s="15">
        <v>0.0</v>
      </c>
      <c r="M449" s="15">
        <v>1.038515949E7</v>
      </c>
    </row>
    <row r="450" ht="13.5" customHeight="1" outlineLevel="3">
      <c r="A450" s="7" t="s">
        <v>497</v>
      </c>
      <c r="B450" s="7" t="s">
        <v>498</v>
      </c>
      <c r="C450" s="7" t="s">
        <v>118</v>
      </c>
      <c r="D450" s="7" t="s">
        <v>499</v>
      </c>
      <c r="E450" s="7" t="s">
        <v>19</v>
      </c>
      <c r="F450" s="7" t="s">
        <v>20</v>
      </c>
      <c r="G450" s="7" t="s">
        <v>509</v>
      </c>
      <c r="H450" s="14">
        <v>46072.0</v>
      </c>
      <c r="I450" s="14">
        <v>46130.0</v>
      </c>
      <c r="J450" s="8">
        <v>21.0</v>
      </c>
      <c r="K450" s="15">
        <v>1.079484573E7</v>
      </c>
      <c r="L450" s="15">
        <v>0.0</v>
      </c>
      <c r="M450" s="15">
        <v>1.038515949E7</v>
      </c>
    </row>
    <row r="451" ht="13.5" customHeight="1" outlineLevel="3">
      <c r="A451" s="7" t="s">
        <v>497</v>
      </c>
      <c r="B451" s="7" t="s">
        <v>498</v>
      </c>
      <c r="C451" s="7" t="s">
        <v>118</v>
      </c>
      <c r="D451" s="7" t="s">
        <v>499</v>
      </c>
      <c r="E451" s="7" t="s">
        <v>19</v>
      </c>
      <c r="F451" s="7" t="s">
        <v>20</v>
      </c>
      <c r="G451" s="7" t="s">
        <v>510</v>
      </c>
      <c r="H451" s="14">
        <v>46076.0</v>
      </c>
      <c r="I451" s="14">
        <v>46134.0</v>
      </c>
      <c r="J451" s="8">
        <v>25.0</v>
      </c>
      <c r="K451" s="15">
        <v>1.48997337E7</v>
      </c>
      <c r="L451" s="15">
        <v>0.0</v>
      </c>
      <c r="M451" s="15">
        <v>1.038515949E7</v>
      </c>
    </row>
    <row r="452" ht="13.5" customHeight="1" outlineLevel="3">
      <c r="A452" s="7" t="s">
        <v>497</v>
      </c>
      <c r="B452" s="7" t="s">
        <v>498</v>
      </c>
      <c r="C452" s="7" t="s">
        <v>118</v>
      </c>
      <c r="D452" s="7" t="s">
        <v>499</v>
      </c>
      <c r="E452" s="7" t="s">
        <v>19</v>
      </c>
      <c r="F452" s="7" t="s">
        <v>20</v>
      </c>
      <c r="G452" s="7" t="s">
        <v>511</v>
      </c>
      <c r="H452" s="14">
        <v>46079.0</v>
      </c>
      <c r="I452" s="14">
        <v>46137.0</v>
      </c>
      <c r="J452" s="8">
        <v>28.0</v>
      </c>
      <c r="K452" s="15">
        <v>2299012.15</v>
      </c>
      <c r="L452" s="15">
        <v>0.0</v>
      </c>
      <c r="M452" s="15">
        <v>1.038515949E7</v>
      </c>
    </row>
    <row r="453" ht="13.5" customHeight="1" outlineLevel="3">
      <c r="A453" s="7" t="s">
        <v>497</v>
      </c>
      <c r="B453" s="7" t="s">
        <v>498</v>
      </c>
      <c r="C453" s="7" t="s">
        <v>118</v>
      </c>
      <c r="D453" s="7" t="s">
        <v>499</v>
      </c>
      <c r="E453" s="7" t="s">
        <v>19</v>
      </c>
      <c r="F453" s="7" t="s">
        <v>20</v>
      </c>
      <c r="G453" s="7" t="s">
        <v>512</v>
      </c>
      <c r="H453" s="14">
        <v>46084.0</v>
      </c>
      <c r="I453" s="14">
        <v>46144.0</v>
      </c>
      <c r="J453" s="8">
        <v>35.0</v>
      </c>
      <c r="K453" s="15">
        <v>4602629.57</v>
      </c>
      <c r="L453" s="15">
        <v>0.0</v>
      </c>
      <c r="M453" s="15">
        <v>1.038515949E7</v>
      </c>
    </row>
    <row r="454" ht="13.5" customHeight="1" outlineLevel="3">
      <c r="A454" s="7" t="s">
        <v>497</v>
      </c>
      <c r="B454" s="7" t="s">
        <v>498</v>
      </c>
      <c r="C454" s="7" t="s">
        <v>118</v>
      </c>
      <c r="D454" s="7" t="s">
        <v>499</v>
      </c>
      <c r="E454" s="7" t="s">
        <v>19</v>
      </c>
      <c r="F454" s="7" t="s">
        <v>20</v>
      </c>
      <c r="G454" s="7" t="s">
        <v>513</v>
      </c>
      <c r="H454" s="14">
        <v>46091.0</v>
      </c>
      <c r="I454" s="14">
        <v>46151.0</v>
      </c>
      <c r="J454" s="8">
        <v>42.0</v>
      </c>
      <c r="K454" s="15">
        <v>1.741168458E7</v>
      </c>
      <c r="L454" s="15">
        <v>0.0</v>
      </c>
      <c r="M454" s="15">
        <v>1.038515949E7</v>
      </c>
    </row>
    <row r="455" ht="13.5" customHeight="1" outlineLevel="3">
      <c r="A455" s="7" t="s">
        <v>497</v>
      </c>
      <c r="B455" s="7" t="s">
        <v>498</v>
      </c>
      <c r="C455" s="7" t="s">
        <v>118</v>
      </c>
      <c r="D455" s="7" t="s">
        <v>499</v>
      </c>
      <c r="E455" s="7" t="s">
        <v>19</v>
      </c>
      <c r="F455" s="7" t="s">
        <v>20</v>
      </c>
      <c r="G455" s="7" t="s">
        <v>514</v>
      </c>
      <c r="H455" s="14">
        <v>46093.0</v>
      </c>
      <c r="I455" s="14">
        <v>46153.0</v>
      </c>
      <c r="J455" s="8">
        <v>44.0</v>
      </c>
      <c r="K455" s="15">
        <v>8162323.19</v>
      </c>
      <c r="L455" s="15">
        <v>0.0</v>
      </c>
      <c r="M455" s="15">
        <v>1.038515949E7</v>
      </c>
    </row>
    <row r="456" ht="13.5" customHeight="1" outlineLevel="3">
      <c r="A456" s="7" t="s">
        <v>497</v>
      </c>
      <c r="B456" s="7" t="s">
        <v>498</v>
      </c>
      <c r="C456" s="7" t="s">
        <v>118</v>
      </c>
      <c r="D456" s="7" t="s">
        <v>499</v>
      </c>
      <c r="E456" s="7" t="s">
        <v>19</v>
      </c>
      <c r="F456" s="7" t="s">
        <v>20</v>
      </c>
      <c r="G456" s="7" t="s">
        <v>515</v>
      </c>
      <c r="H456" s="14">
        <v>46099.0</v>
      </c>
      <c r="I456" s="14">
        <v>46159.0</v>
      </c>
      <c r="J456" s="8">
        <v>50.0</v>
      </c>
      <c r="K456" s="15">
        <v>4939849.26</v>
      </c>
      <c r="L456" s="15">
        <v>0.0</v>
      </c>
      <c r="M456" s="15">
        <v>1.038515949E7</v>
      </c>
    </row>
    <row r="457" ht="13.5" customHeight="1" outlineLevel="3">
      <c r="A457" s="7" t="s">
        <v>497</v>
      </c>
      <c r="B457" s="7" t="s">
        <v>498</v>
      </c>
      <c r="C457" s="7" t="s">
        <v>118</v>
      </c>
      <c r="D457" s="7" t="s">
        <v>499</v>
      </c>
      <c r="E457" s="7" t="s">
        <v>19</v>
      </c>
      <c r="F457" s="7" t="s">
        <v>20</v>
      </c>
      <c r="G457" s="7" t="s">
        <v>516</v>
      </c>
      <c r="H457" s="14">
        <v>46105.0</v>
      </c>
      <c r="I457" s="14">
        <v>46165.0</v>
      </c>
      <c r="J457" s="8">
        <v>56.0</v>
      </c>
      <c r="K457" s="15">
        <v>1.010786386E7</v>
      </c>
      <c r="L457" s="15">
        <v>0.0</v>
      </c>
      <c r="M457" s="15">
        <v>1.038515949E7</v>
      </c>
    </row>
    <row r="458" ht="13.5" customHeight="1" outlineLevel="3">
      <c r="A458" s="7" t="s">
        <v>497</v>
      </c>
      <c r="B458" s="7" t="s">
        <v>498</v>
      </c>
      <c r="C458" s="7" t="s">
        <v>118</v>
      </c>
      <c r="D458" s="7" t="s">
        <v>499</v>
      </c>
      <c r="E458" s="7" t="s">
        <v>19</v>
      </c>
      <c r="F458" s="7" t="s">
        <v>20</v>
      </c>
      <c r="G458" s="7" t="s">
        <v>517</v>
      </c>
      <c r="H458" s="14">
        <v>46107.0</v>
      </c>
      <c r="I458" s="14">
        <v>46167.0</v>
      </c>
      <c r="J458" s="8">
        <v>58.0</v>
      </c>
      <c r="K458" s="15">
        <v>4317481.84</v>
      </c>
      <c r="L458" s="15">
        <v>0.0</v>
      </c>
      <c r="M458" s="15">
        <v>1.038515949E7</v>
      </c>
    </row>
    <row r="459" ht="13.5" customHeight="1" outlineLevel="2">
      <c r="A459" s="7"/>
      <c r="B459" s="7"/>
      <c r="C459" s="7"/>
      <c r="D459" s="7"/>
      <c r="E459" s="16" t="s">
        <v>22</v>
      </c>
      <c r="F459" s="7"/>
      <c r="G459" s="7"/>
      <c r="H459" s="14"/>
      <c r="I459" s="14"/>
      <c r="J459" s="8"/>
      <c r="K459" s="15">
        <f t="shared" ref="K459:L459" si="101">SUBTOTAL(9,K441:K458)</f>
        <v>138322559.6</v>
      </c>
      <c r="L459" s="15">
        <f t="shared" si="101"/>
        <v>10385159.49</v>
      </c>
      <c r="M459" s="15"/>
    </row>
    <row r="460" ht="13.5" customHeight="1" outlineLevel="1">
      <c r="A460" s="16" t="s">
        <v>518</v>
      </c>
      <c r="B460" s="7"/>
      <c r="C460" s="7"/>
      <c r="D460" s="7"/>
      <c r="E460" s="7"/>
      <c r="F460" s="7"/>
      <c r="G460" s="7"/>
      <c r="H460" s="14"/>
      <c r="I460" s="14"/>
      <c r="J460" s="8"/>
      <c r="K460" s="15">
        <f t="shared" ref="K460:L460" si="102">SUBTOTAL(9,K441:K458)</f>
        <v>138322559.6</v>
      </c>
      <c r="L460" s="15">
        <f t="shared" si="102"/>
        <v>10385159.49</v>
      </c>
      <c r="M460" s="15"/>
    </row>
    <row r="461" ht="13.5" customHeight="1" outlineLevel="3">
      <c r="A461" s="7" t="s">
        <v>519</v>
      </c>
      <c r="B461" s="7" t="s">
        <v>25</v>
      </c>
      <c r="C461" s="7" t="s">
        <v>17</v>
      </c>
      <c r="D461" s="7" t="s">
        <v>239</v>
      </c>
      <c r="E461" s="7" t="s">
        <v>19</v>
      </c>
      <c r="F461" s="7" t="s">
        <v>20</v>
      </c>
      <c r="G461" s="7" t="s">
        <v>520</v>
      </c>
      <c r="H461" s="14">
        <v>44439.0</v>
      </c>
      <c r="I461" s="14">
        <v>44498.0</v>
      </c>
      <c r="J461" s="8">
        <v>-1588.0</v>
      </c>
      <c r="K461" s="15">
        <v>658023.59</v>
      </c>
      <c r="L461" s="15">
        <v>658023.59</v>
      </c>
      <c r="M461" s="15">
        <v>658023.59</v>
      </c>
    </row>
    <row r="462" ht="13.5" customHeight="1" outlineLevel="3">
      <c r="A462" s="7" t="s">
        <v>519</v>
      </c>
      <c r="B462" s="7" t="s">
        <v>25</v>
      </c>
      <c r="C462" s="7" t="s">
        <v>17</v>
      </c>
      <c r="D462" s="7" t="s">
        <v>239</v>
      </c>
      <c r="E462" s="7" t="s">
        <v>19</v>
      </c>
      <c r="F462" s="7" t="s">
        <v>20</v>
      </c>
      <c r="G462" s="7" t="s">
        <v>521</v>
      </c>
      <c r="H462" s="14">
        <v>44445.0</v>
      </c>
      <c r="I462" s="14">
        <v>44505.0</v>
      </c>
      <c r="J462" s="8">
        <v>-1582.0</v>
      </c>
      <c r="K462" s="15">
        <v>147469.56</v>
      </c>
      <c r="L462" s="15">
        <v>147469.56</v>
      </c>
      <c r="M462" s="15">
        <v>805493.15</v>
      </c>
    </row>
    <row r="463" ht="13.5" customHeight="1" outlineLevel="3">
      <c r="A463" s="7" t="s">
        <v>519</v>
      </c>
      <c r="B463" s="7" t="s">
        <v>25</v>
      </c>
      <c r="C463" s="7" t="s">
        <v>17</v>
      </c>
      <c r="D463" s="7" t="s">
        <v>239</v>
      </c>
      <c r="E463" s="7" t="s">
        <v>19</v>
      </c>
      <c r="F463" s="7" t="s">
        <v>20</v>
      </c>
      <c r="G463" s="7" t="s">
        <v>522</v>
      </c>
      <c r="H463" s="14">
        <v>44445.0</v>
      </c>
      <c r="I463" s="14">
        <v>44505.0</v>
      </c>
      <c r="J463" s="8">
        <v>-1582.0</v>
      </c>
      <c r="K463" s="15">
        <v>1143199.32</v>
      </c>
      <c r="L463" s="15">
        <v>1143199.32</v>
      </c>
      <c r="M463" s="15">
        <v>1948692.47</v>
      </c>
    </row>
    <row r="464" ht="13.5" customHeight="1" outlineLevel="2">
      <c r="A464" s="7"/>
      <c r="B464" s="7"/>
      <c r="C464" s="7"/>
      <c r="D464" s="7"/>
      <c r="E464" s="16" t="s">
        <v>22</v>
      </c>
      <c r="F464" s="7"/>
      <c r="G464" s="7"/>
      <c r="H464" s="14"/>
      <c r="I464" s="14"/>
      <c r="J464" s="8"/>
      <c r="K464" s="15">
        <f t="shared" ref="K464:L464" si="103">SUBTOTAL(9,K461:K463)</f>
        <v>1948692.47</v>
      </c>
      <c r="L464" s="15">
        <f t="shared" si="103"/>
        <v>1948692.47</v>
      </c>
      <c r="M464" s="15"/>
    </row>
    <row r="465" ht="13.5" customHeight="1" outlineLevel="1">
      <c r="A465" s="16" t="s">
        <v>523</v>
      </c>
      <c r="B465" s="7"/>
      <c r="C465" s="7"/>
      <c r="D465" s="7"/>
      <c r="E465" s="7"/>
      <c r="F465" s="7"/>
      <c r="G465" s="7"/>
      <c r="H465" s="14"/>
      <c r="I465" s="14"/>
      <c r="J465" s="8"/>
      <c r="K465" s="15">
        <f t="shared" ref="K465:L465" si="104">SUBTOTAL(9,K461:K463)</f>
        <v>1948692.47</v>
      </c>
      <c r="L465" s="15">
        <f t="shared" si="104"/>
        <v>1948692.47</v>
      </c>
      <c r="M465" s="15"/>
    </row>
    <row r="466" ht="13.5" customHeight="1" outlineLevel="3">
      <c r="A466" s="7" t="s">
        <v>524</v>
      </c>
      <c r="B466" s="7" t="s">
        <v>525</v>
      </c>
      <c r="C466" s="7" t="s">
        <v>42</v>
      </c>
      <c r="D466" s="7" t="s">
        <v>43</v>
      </c>
      <c r="E466" s="7" t="s">
        <v>19</v>
      </c>
      <c r="F466" s="7" t="s">
        <v>20</v>
      </c>
      <c r="G466" s="7" t="s">
        <v>526</v>
      </c>
      <c r="H466" s="14">
        <v>46083.0</v>
      </c>
      <c r="I466" s="14">
        <v>46113.0</v>
      </c>
      <c r="J466" s="8">
        <v>4.0</v>
      </c>
      <c r="K466" s="15">
        <v>1241284.2</v>
      </c>
      <c r="L466" s="15">
        <v>0.0</v>
      </c>
      <c r="M466" s="15">
        <v>0.0</v>
      </c>
    </row>
    <row r="467" ht="13.5" customHeight="1" outlineLevel="2">
      <c r="A467" s="7"/>
      <c r="B467" s="7"/>
      <c r="C467" s="7"/>
      <c r="D467" s="7"/>
      <c r="E467" s="16" t="s">
        <v>22</v>
      </c>
      <c r="F467" s="7"/>
      <c r="G467" s="7"/>
      <c r="H467" s="14"/>
      <c r="I467" s="14"/>
      <c r="J467" s="8"/>
      <c r="K467" s="15">
        <f t="shared" ref="K467:L467" si="105">SUBTOTAL(9,K466)</f>
        <v>1241284.2</v>
      </c>
      <c r="L467" s="15">
        <f t="shared" si="105"/>
        <v>0</v>
      </c>
      <c r="M467" s="15"/>
    </row>
    <row r="468" ht="13.5" customHeight="1" outlineLevel="1">
      <c r="A468" s="16" t="s">
        <v>527</v>
      </c>
      <c r="B468" s="7"/>
      <c r="C468" s="7"/>
      <c r="D468" s="7"/>
      <c r="E468" s="7"/>
      <c r="F468" s="7"/>
      <c r="G468" s="7"/>
      <c r="H468" s="14"/>
      <c r="I468" s="14"/>
      <c r="J468" s="8"/>
      <c r="K468" s="15">
        <f t="shared" ref="K468:L468" si="106">SUBTOTAL(9,K466)</f>
        <v>1241284.2</v>
      </c>
      <c r="L468" s="15">
        <f t="shared" si="106"/>
        <v>0</v>
      </c>
      <c r="M468" s="15"/>
    </row>
    <row r="469" ht="13.5" customHeight="1" outlineLevel="3">
      <c r="A469" s="7" t="s">
        <v>528</v>
      </c>
      <c r="B469" s="7" t="s">
        <v>131</v>
      </c>
      <c r="C469" s="7" t="s">
        <v>17</v>
      </c>
      <c r="D469" s="7" t="s">
        <v>239</v>
      </c>
      <c r="E469" s="7" t="s">
        <v>19</v>
      </c>
      <c r="F469" s="7" t="s">
        <v>20</v>
      </c>
      <c r="G469" s="7" t="s">
        <v>529</v>
      </c>
      <c r="H469" s="14">
        <v>43816.0</v>
      </c>
      <c r="I469" s="14">
        <v>43877.0</v>
      </c>
      <c r="J469" s="8">
        <v>-2201.0</v>
      </c>
      <c r="K469" s="15">
        <v>4839100.55</v>
      </c>
      <c r="L469" s="15">
        <v>4839100.55</v>
      </c>
      <c r="M469" s="15">
        <v>4839100.55</v>
      </c>
    </row>
    <row r="470" ht="13.5" customHeight="1" outlineLevel="3">
      <c r="A470" s="7" t="s">
        <v>528</v>
      </c>
      <c r="B470" s="7" t="s">
        <v>131</v>
      </c>
      <c r="C470" s="7" t="s">
        <v>17</v>
      </c>
      <c r="D470" s="7" t="s">
        <v>239</v>
      </c>
      <c r="E470" s="7" t="s">
        <v>19</v>
      </c>
      <c r="F470" s="7" t="s">
        <v>20</v>
      </c>
      <c r="G470" s="7" t="s">
        <v>530</v>
      </c>
      <c r="H470" s="14">
        <v>43818.0</v>
      </c>
      <c r="I470" s="14">
        <v>43879.0</v>
      </c>
      <c r="J470" s="8">
        <v>-2199.0</v>
      </c>
      <c r="K470" s="15">
        <v>4741317.0</v>
      </c>
      <c r="L470" s="15">
        <v>4741317.0</v>
      </c>
      <c r="M470" s="15">
        <v>9580417.55</v>
      </c>
    </row>
    <row r="471" ht="13.5" customHeight="1" outlineLevel="3">
      <c r="A471" s="7" t="s">
        <v>528</v>
      </c>
      <c r="B471" s="7" t="s">
        <v>131</v>
      </c>
      <c r="C471" s="7" t="s">
        <v>17</v>
      </c>
      <c r="D471" s="7" t="s">
        <v>239</v>
      </c>
      <c r="E471" s="7" t="s">
        <v>19</v>
      </c>
      <c r="F471" s="7" t="s">
        <v>20</v>
      </c>
      <c r="G471" s="7" t="s">
        <v>531</v>
      </c>
      <c r="H471" s="14">
        <v>43818.0</v>
      </c>
      <c r="I471" s="14">
        <v>43879.0</v>
      </c>
      <c r="J471" s="8">
        <v>-2199.0</v>
      </c>
      <c r="K471" s="15">
        <v>785400.0</v>
      </c>
      <c r="L471" s="15">
        <v>785400.0</v>
      </c>
      <c r="M471" s="15">
        <v>1.036581755E7</v>
      </c>
    </row>
    <row r="472" ht="13.5" customHeight="1" outlineLevel="3">
      <c r="A472" s="7" t="s">
        <v>528</v>
      </c>
      <c r="B472" s="7" t="s">
        <v>131</v>
      </c>
      <c r="C472" s="7" t="s">
        <v>17</v>
      </c>
      <c r="D472" s="7" t="s">
        <v>239</v>
      </c>
      <c r="E472" s="7" t="s">
        <v>19</v>
      </c>
      <c r="F472" s="7" t="s">
        <v>20</v>
      </c>
      <c r="G472" s="7" t="s">
        <v>532</v>
      </c>
      <c r="H472" s="14">
        <v>43928.0</v>
      </c>
      <c r="I472" s="14">
        <v>43988.0</v>
      </c>
      <c r="J472" s="8">
        <v>-2091.0</v>
      </c>
      <c r="K472" s="15">
        <v>9141801.6</v>
      </c>
      <c r="L472" s="15">
        <v>9141801.6</v>
      </c>
      <c r="M472" s="15">
        <v>1.950761915E7</v>
      </c>
    </row>
    <row r="473" ht="13.5" customHeight="1" outlineLevel="3">
      <c r="A473" s="7" t="s">
        <v>528</v>
      </c>
      <c r="B473" s="7" t="s">
        <v>131</v>
      </c>
      <c r="C473" s="7" t="s">
        <v>17</v>
      </c>
      <c r="D473" s="7" t="s">
        <v>239</v>
      </c>
      <c r="E473" s="7" t="s">
        <v>19</v>
      </c>
      <c r="F473" s="7" t="s">
        <v>20</v>
      </c>
      <c r="G473" s="7" t="s">
        <v>533</v>
      </c>
      <c r="H473" s="14">
        <v>44102.0</v>
      </c>
      <c r="I473" s="14">
        <v>44162.0</v>
      </c>
      <c r="J473" s="8">
        <v>-1920.0</v>
      </c>
      <c r="K473" s="15">
        <v>3499927.95</v>
      </c>
      <c r="L473" s="15">
        <v>3499927.95</v>
      </c>
      <c r="M473" s="15">
        <v>2.30075471E7</v>
      </c>
    </row>
    <row r="474" ht="13.5" customHeight="1" outlineLevel="3">
      <c r="A474" s="7" t="s">
        <v>528</v>
      </c>
      <c r="B474" s="7" t="s">
        <v>131</v>
      </c>
      <c r="C474" s="7" t="s">
        <v>17</v>
      </c>
      <c r="D474" s="7" t="s">
        <v>239</v>
      </c>
      <c r="E474" s="7" t="s">
        <v>19</v>
      </c>
      <c r="F474" s="7" t="s">
        <v>20</v>
      </c>
      <c r="G474" s="7" t="s">
        <v>534</v>
      </c>
      <c r="H474" s="14">
        <v>44138.0</v>
      </c>
      <c r="I474" s="14">
        <v>44198.0</v>
      </c>
      <c r="J474" s="8">
        <v>-1885.0</v>
      </c>
      <c r="K474" s="15">
        <v>580434.4</v>
      </c>
      <c r="L474" s="15">
        <v>580434.4</v>
      </c>
      <c r="M474" s="15">
        <v>2.35879815E7</v>
      </c>
    </row>
    <row r="475" ht="13.5" customHeight="1" outlineLevel="3">
      <c r="A475" s="7" t="s">
        <v>528</v>
      </c>
      <c r="B475" s="7" t="s">
        <v>131</v>
      </c>
      <c r="C475" s="7" t="s">
        <v>17</v>
      </c>
      <c r="D475" s="7" t="s">
        <v>239</v>
      </c>
      <c r="E475" s="7" t="s">
        <v>19</v>
      </c>
      <c r="F475" s="7" t="s">
        <v>20</v>
      </c>
      <c r="G475" s="7" t="s">
        <v>535</v>
      </c>
      <c r="H475" s="14">
        <v>44167.0</v>
      </c>
      <c r="I475" s="14">
        <v>44228.0</v>
      </c>
      <c r="J475" s="8">
        <v>-1856.0</v>
      </c>
      <c r="K475" s="15">
        <v>1922366.48</v>
      </c>
      <c r="L475" s="15">
        <v>1922366.48</v>
      </c>
      <c r="M475" s="15">
        <v>2.551034798E7</v>
      </c>
    </row>
    <row r="476" ht="13.5" customHeight="1" outlineLevel="3">
      <c r="A476" s="7" t="s">
        <v>528</v>
      </c>
      <c r="B476" s="7" t="s">
        <v>131</v>
      </c>
      <c r="C476" s="7" t="s">
        <v>17</v>
      </c>
      <c r="D476" s="7" t="s">
        <v>239</v>
      </c>
      <c r="E476" s="7" t="s">
        <v>19</v>
      </c>
      <c r="F476" s="7" t="s">
        <v>20</v>
      </c>
      <c r="G476" s="7" t="s">
        <v>536</v>
      </c>
      <c r="H476" s="14">
        <v>44187.0</v>
      </c>
      <c r="I476" s="14">
        <v>44248.0</v>
      </c>
      <c r="J476" s="8">
        <v>-1836.0</v>
      </c>
      <c r="K476" s="15">
        <v>1597430.51</v>
      </c>
      <c r="L476" s="15">
        <v>1597430.51</v>
      </c>
      <c r="M476" s="15">
        <v>2.710777849E7</v>
      </c>
    </row>
    <row r="477" ht="13.5" customHeight="1" outlineLevel="2">
      <c r="A477" s="7"/>
      <c r="B477" s="7"/>
      <c r="C477" s="7"/>
      <c r="D477" s="7"/>
      <c r="E477" s="16" t="s">
        <v>22</v>
      </c>
      <c r="F477" s="7"/>
      <c r="G477" s="7"/>
      <c r="H477" s="14"/>
      <c r="I477" s="14"/>
      <c r="J477" s="8"/>
      <c r="K477" s="15">
        <f t="shared" ref="K477:L477" si="107">SUBTOTAL(9,K469:K476)</f>
        <v>27107778.49</v>
      </c>
      <c r="L477" s="15">
        <f t="shared" si="107"/>
        <v>27107778.49</v>
      </c>
      <c r="M477" s="15"/>
    </row>
    <row r="478" ht="13.5" customHeight="1" outlineLevel="1">
      <c r="A478" s="16" t="s">
        <v>537</v>
      </c>
      <c r="B478" s="7"/>
      <c r="C478" s="7"/>
      <c r="D478" s="7"/>
      <c r="E478" s="7"/>
      <c r="F478" s="7"/>
      <c r="G478" s="7"/>
      <c r="H478" s="14"/>
      <c r="I478" s="14"/>
      <c r="J478" s="8"/>
      <c r="K478" s="15">
        <f t="shared" ref="K478:L478" si="108">SUBTOTAL(9,K469:K476)</f>
        <v>27107778.49</v>
      </c>
      <c r="L478" s="15">
        <f t="shared" si="108"/>
        <v>27107778.49</v>
      </c>
      <c r="M478" s="15"/>
    </row>
    <row r="479" ht="13.5" customHeight="1" outlineLevel="3">
      <c r="A479" s="7" t="s">
        <v>538</v>
      </c>
      <c r="B479" s="7" t="s">
        <v>539</v>
      </c>
      <c r="C479" s="7" t="s">
        <v>45</v>
      </c>
      <c r="D479" s="7" t="s">
        <v>27</v>
      </c>
      <c r="E479" s="7" t="s">
        <v>19</v>
      </c>
      <c r="F479" s="7" t="s">
        <v>20</v>
      </c>
      <c r="G479" s="7" t="s">
        <v>540</v>
      </c>
      <c r="H479" s="14">
        <v>45972.0</v>
      </c>
      <c r="I479" s="14">
        <v>45999.0</v>
      </c>
      <c r="J479" s="8">
        <v>-109.0</v>
      </c>
      <c r="K479" s="15">
        <v>-94916.25</v>
      </c>
      <c r="L479" s="15">
        <v>-94916.25</v>
      </c>
      <c r="M479" s="15">
        <v>-94916.25</v>
      </c>
    </row>
    <row r="480" ht="13.5" customHeight="1" outlineLevel="3">
      <c r="A480" s="7" t="s">
        <v>538</v>
      </c>
      <c r="B480" s="7" t="s">
        <v>539</v>
      </c>
      <c r="C480" s="7" t="s">
        <v>26</v>
      </c>
      <c r="D480" s="7" t="s">
        <v>27</v>
      </c>
      <c r="E480" s="7" t="s">
        <v>19</v>
      </c>
      <c r="F480" s="7" t="s">
        <v>20</v>
      </c>
      <c r="G480" s="7" t="s">
        <v>541</v>
      </c>
      <c r="H480" s="14">
        <v>46041.0</v>
      </c>
      <c r="I480" s="14">
        <v>46099.0</v>
      </c>
      <c r="J480" s="8">
        <v>-9.0</v>
      </c>
      <c r="K480" s="15">
        <v>4354325.62</v>
      </c>
      <c r="L480" s="15">
        <v>4354325.62</v>
      </c>
      <c r="M480" s="15">
        <v>4259409.37</v>
      </c>
    </row>
    <row r="481" ht="13.5" customHeight="1" outlineLevel="3">
      <c r="A481" s="7" t="s">
        <v>538</v>
      </c>
      <c r="B481" s="7" t="s">
        <v>539</v>
      </c>
      <c r="C481" s="7" t="s">
        <v>26</v>
      </c>
      <c r="D481" s="7" t="s">
        <v>27</v>
      </c>
      <c r="E481" s="7" t="s">
        <v>19</v>
      </c>
      <c r="F481" s="7" t="s">
        <v>20</v>
      </c>
      <c r="G481" s="7" t="s">
        <v>542</v>
      </c>
      <c r="H481" s="14">
        <v>46072.0</v>
      </c>
      <c r="I481" s="14">
        <v>46130.0</v>
      </c>
      <c r="J481" s="8">
        <v>21.0</v>
      </c>
      <c r="K481" s="15">
        <v>4162055.62</v>
      </c>
      <c r="L481" s="15">
        <v>0.0</v>
      </c>
      <c r="M481" s="15">
        <v>4259409.37</v>
      </c>
    </row>
    <row r="482" ht="13.5" customHeight="1" outlineLevel="3">
      <c r="A482" s="7" t="s">
        <v>538</v>
      </c>
      <c r="B482" s="7" t="s">
        <v>539</v>
      </c>
      <c r="C482" s="7" t="s">
        <v>26</v>
      </c>
      <c r="D482" s="7" t="s">
        <v>27</v>
      </c>
      <c r="E482" s="7" t="s">
        <v>19</v>
      </c>
      <c r="F482" s="7" t="s">
        <v>20</v>
      </c>
      <c r="G482" s="7" t="s">
        <v>543</v>
      </c>
      <c r="H482" s="14">
        <v>46093.0</v>
      </c>
      <c r="I482" s="14">
        <v>46153.0</v>
      </c>
      <c r="J482" s="8">
        <v>44.0</v>
      </c>
      <c r="K482" s="15">
        <v>3821863.5</v>
      </c>
      <c r="L482" s="15">
        <v>0.0</v>
      </c>
      <c r="M482" s="15">
        <v>4259409.37</v>
      </c>
    </row>
    <row r="483" ht="13.5" customHeight="1" outlineLevel="2">
      <c r="A483" s="7"/>
      <c r="B483" s="7"/>
      <c r="C483" s="7"/>
      <c r="D483" s="7"/>
      <c r="E483" s="16" t="s">
        <v>22</v>
      </c>
      <c r="F483" s="7"/>
      <c r="G483" s="7"/>
      <c r="H483" s="14"/>
      <c r="I483" s="14"/>
      <c r="J483" s="8"/>
      <c r="K483" s="15">
        <f t="shared" ref="K483:L483" si="109">SUBTOTAL(9,K479:K482)</f>
        <v>12243328.49</v>
      </c>
      <c r="L483" s="15">
        <f t="shared" si="109"/>
        <v>4259409.37</v>
      </c>
      <c r="M483" s="15"/>
    </row>
    <row r="484" ht="13.5" customHeight="1" outlineLevel="1">
      <c r="A484" s="16" t="s">
        <v>544</v>
      </c>
      <c r="B484" s="7"/>
      <c r="C484" s="7"/>
      <c r="D484" s="7"/>
      <c r="E484" s="7"/>
      <c r="F484" s="7"/>
      <c r="G484" s="7"/>
      <c r="H484" s="14"/>
      <c r="I484" s="14"/>
      <c r="J484" s="8"/>
      <c r="K484" s="15">
        <f t="shared" ref="K484:L484" si="110">SUBTOTAL(9,K479:K482)</f>
        <v>12243328.49</v>
      </c>
      <c r="L484" s="15">
        <f t="shared" si="110"/>
        <v>4259409.37</v>
      </c>
      <c r="M484" s="15"/>
    </row>
    <row r="485" ht="13.5" customHeight="1" outlineLevel="3">
      <c r="A485" s="7" t="s">
        <v>545</v>
      </c>
      <c r="B485" s="7" t="s">
        <v>25</v>
      </c>
      <c r="C485" s="7" t="s">
        <v>45</v>
      </c>
      <c r="D485" s="7" t="s">
        <v>116</v>
      </c>
      <c r="E485" s="7" t="s">
        <v>19</v>
      </c>
      <c r="F485" s="7" t="s">
        <v>20</v>
      </c>
      <c r="G485" s="7" t="s">
        <v>546</v>
      </c>
      <c r="H485" s="14">
        <v>44123.0</v>
      </c>
      <c r="I485" s="14">
        <v>44183.0</v>
      </c>
      <c r="J485" s="8">
        <v>-1899.0</v>
      </c>
      <c r="K485" s="15">
        <v>3165392.62</v>
      </c>
      <c r="L485" s="15">
        <v>3165392.62</v>
      </c>
      <c r="M485" s="15">
        <v>3165392.62</v>
      </c>
    </row>
    <row r="486" ht="13.5" customHeight="1" outlineLevel="3">
      <c r="A486" s="7" t="s">
        <v>545</v>
      </c>
      <c r="B486" s="7" t="s">
        <v>25</v>
      </c>
      <c r="C486" s="7" t="s">
        <v>118</v>
      </c>
      <c r="D486" s="7" t="s">
        <v>116</v>
      </c>
      <c r="E486" s="7" t="s">
        <v>19</v>
      </c>
      <c r="F486" s="7" t="s">
        <v>20</v>
      </c>
      <c r="G486" s="7" t="s">
        <v>547</v>
      </c>
      <c r="H486" s="14">
        <v>44123.0</v>
      </c>
      <c r="I486" s="14">
        <v>44183.0</v>
      </c>
      <c r="J486" s="8">
        <v>-1899.0</v>
      </c>
      <c r="K486" s="15">
        <v>7856505.87</v>
      </c>
      <c r="L486" s="15">
        <v>7856505.87</v>
      </c>
      <c r="M486" s="15">
        <v>1.102189849E7</v>
      </c>
    </row>
    <row r="487" ht="13.5" customHeight="1" outlineLevel="3">
      <c r="A487" s="7" t="s">
        <v>545</v>
      </c>
      <c r="B487" s="7" t="s">
        <v>25</v>
      </c>
      <c r="C487" s="7" t="s">
        <v>118</v>
      </c>
      <c r="D487" s="7" t="s">
        <v>116</v>
      </c>
      <c r="E487" s="7" t="s">
        <v>19</v>
      </c>
      <c r="F487" s="7" t="s">
        <v>20</v>
      </c>
      <c r="G487" s="7" t="s">
        <v>548</v>
      </c>
      <c r="H487" s="14">
        <v>44127.0</v>
      </c>
      <c r="I487" s="14">
        <v>44187.0</v>
      </c>
      <c r="J487" s="8">
        <v>-1895.0</v>
      </c>
      <c r="K487" s="15">
        <v>2434163.22</v>
      </c>
      <c r="L487" s="15">
        <v>2434163.22</v>
      </c>
      <c r="M487" s="15">
        <v>1.345606171E7</v>
      </c>
    </row>
    <row r="488" ht="13.5" customHeight="1" outlineLevel="3">
      <c r="A488" s="7" t="s">
        <v>545</v>
      </c>
      <c r="B488" s="7" t="s">
        <v>25</v>
      </c>
      <c r="C488" s="7" t="s">
        <v>118</v>
      </c>
      <c r="D488" s="7" t="s">
        <v>116</v>
      </c>
      <c r="E488" s="7" t="s">
        <v>19</v>
      </c>
      <c r="F488" s="7" t="s">
        <v>20</v>
      </c>
      <c r="G488" s="7" t="s">
        <v>549</v>
      </c>
      <c r="H488" s="14">
        <v>44134.0</v>
      </c>
      <c r="I488" s="14">
        <v>44194.0</v>
      </c>
      <c r="J488" s="8">
        <v>-1888.0</v>
      </c>
      <c r="K488" s="15">
        <v>2788890.53</v>
      </c>
      <c r="L488" s="15">
        <v>2788890.53</v>
      </c>
      <c r="M488" s="15">
        <v>1.624495224E7</v>
      </c>
    </row>
    <row r="489" ht="13.5" customHeight="1" outlineLevel="3">
      <c r="A489" s="7" t="s">
        <v>545</v>
      </c>
      <c r="B489" s="7" t="s">
        <v>25</v>
      </c>
      <c r="C489" s="7" t="s">
        <v>118</v>
      </c>
      <c r="D489" s="7" t="s">
        <v>116</v>
      </c>
      <c r="E489" s="7" t="s">
        <v>19</v>
      </c>
      <c r="F489" s="7" t="s">
        <v>20</v>
      </c>
      <c r="G489" s="7" t="s">
        <v>550</v>
      </c>
      <c r="H489" s="14">
        <v>44139.0</v>
      </c>
      <c r="I489" s="14">
        <v>44199.0</v>
      </c>
      <c r="J489" s="8">
        <v>-1884.0</v>
      </c>
      <c r="K489" s="15">
        <v>4109943.94</v>
      </c>
      <c r="L489" s="15">
        <v>4109943.94</v>
      </c>
      <c r="M489" s="15">
        <v>2.035489618E7</v>
      </c>
    </row>
    <row r="490" ht="13.5" customHeight="1" outlineLevel="3">
      <c r="A490" s="7" t="s">
        <v>545</v>
      </c>
      <c r="B490" s="7" t="s">
        <v>25</v>
      </c>
      <c r="C490" s="7" t="s">
        <v>118</v>
      </c>
      <c r="D490" s="7" t="s">
        <v>116</v>
      </c>
      <c r="E490" s="7" t="s">
        <v>19</v>
      </c>
      <c r="F490" s="7" t="s">
        <v>20</v>
      </c>
      <c r="G490" s="7" t="s">
        <v>551</v>
      </c>
      <c r="H490" s="14">
        <v>44144.0</v>
      </c>
      <c r="I490" s="14">
        <v>44204.0</v>
      </c>
      <c r="J490" s="8">
        <v>-1879.0</v>
      </c>
      <c r="K490" s="15">
        <v>2434163.22</v>
      </c>
      <c r="L490" s="15">
        <v>2434163.22</v>
      </c>
      <c r="M490" s="15">
        <v>2.27890594E7</v>
      </c>
    </row>
    <row r="491" ht="13.5" customHeight="1" outlineLevel="3">
      <c r="A491" s="7" t="s">
        <v>545</v>
      </c>
      <c r="B491" s="7" t="s">
        <v>25</v>
      </c>
      <c r="C491" s="7" t="s">
        <v>118</v>
      </c>
      <c r="D491" s="7" t="s">
        <v>116</v>
      </c>
      <c r="E491" s="7" t="s">
        <v>19</v>
      </c>
      <c r="F491" s="7" t="s">
        <v>20</v>
      </c>
      <c r="G491" s="7" t="s">
        <v>552</v>
      </c>
      <c r="H491" s="14">
        <v>44145.0</v>
      </c>
      <c r="I491" s="14">
        <v>44205.0</v>
      </c>
      <c r="J491" s="8">
        <v>-1878.0</v>
      </c>
      <c r="K491" s="15">
        <v>5749028.72</v>
      </c>
      <c r="L491" s="15">
        <v>5749028.72</v>
      </c>
      <c r="M491" s="15">
        <v>2.853808812E7</v>
      </c>
    </row>
    <row r="492" ht="13.5" customHeight="1" outlineLevel="3">
      <c r="A492" s="7" t="s">
        <v>545</v>
      </c>
      <c r="B492" s="7" t="s">
        <v>25</v>
      </c>
      <c r="C492" s="7" t="s">
        <v>118</v>
      </c>
      <c r="D492" s="7" t="s">
        <v>116</v>
      </c>
      <c r="E492" s="7" t="s">
        <v>19</v>
      </c>
      <c r="F492" s="7" t="s">
        <v>20</v>
      </c>
      <c r="G492" s="7" t="s">
        <v>553</v>
      </c>
      <c r="H492" s="14">
        <v>44145.0</v>
      </c>
      <c r="I492" s="14">
        <v>44205.0</v>
      </c>
      <c r="J492" s="8">
        <v>-1878.0</v>
      </c>
      <c r="K492" s="15">
        <v>4746006.69</v>
      </c>
      <c r="L492" s="15">
        <v>4746006.69</v>
      </c>
      <c r="M492" s="15">
        <v>3.328409481E7</v>
      </c>
    </row>
    <row r="493" ht="13.5" customHeight="1" outlineLevel="3">
      <c r="A493" s="7" t="s">
        <v>545</v>
      </c>
      <c r="B493" s="7" t="s">
        <v>25</v>
      </c>
      <c r="C493" s="7" t="s">
        <v>118</v>
      </c>
      <c r="D493" s="7" t="s">
        <v>116</v>
      </c>
      <c r="E493" s="7" t="s">
        <v>19</v>
      </c>
      <c r="F493" s="7" t="s">
        <v>20</v>
      </c>
      <c r="G493" s="7" t="s">
        <v>554</v>
      </c>
      <c r="H493" s="14">
        <v>44148.0</v>
      </c>
      <c r="I493" s="14">
        <v>44208.0</v>
      </c>
      <c r="J493" s="8">
        <v>-1875.0</v>
      </c>
      <c r="K493" s="15">
        <v>7846235.62</v>
      </c>
      <c r="L493" s="15">
        <v>7846235.62</v>
      </c>
      <c r="M493" s="15">
        <v>4.113033043E7</v>
      </c>
    </row>
    <row r="494" ht="13.5" customHeight="1" outlineLevel="3">
      <c r="A494" s="7" t="s">
        <v>545</v>
      </c>
      <c r="B494" s="7" t="s">
        <v>25</v>
      </c>
      <c r="C494" s="7" t="s">
        <v>118</v>
      </c>
      <c r="D494" s="7" t="s">
        <v>116</v>
      </c>
      <c r="E494" s="7" t="s">
        <v>19</v>
      </c>
      <c r="F494" s="7" t="s">
        <v>20</v>
      </c>
      <c r="G494" s="7" t="s">
        <v>555</v>
      </c>
      <c r="H494" s="14">
        <v>44154.0</v>
      </c>
      <c r="I494" s="14">
        <v>44214.0</v>
      </c>
      <c r="J494" s="8">
        <v>-1869.0</v>
      </c>
      <c r="K494" s="15">
        <v>1448265.96</v>
      </c>
      <c r="L494" s="15">
        <v>1448265.96</v>
      </c>
      <c r="M494" s="15">
        <v>4.257859639E7</v>
      </c>
    </row>
    <row r="495" ht="13.5" customHeight="1" outlineLevel="3">
      <c r="A495" s="7" t="s">
        <v>545</v>
      </c>
      <c r="B495" s="7" t="s">
        <v>25</v>
      </c>
      <c r="C495" s="7" t="s">
        <v>118</v>
      </c>
      <c r="D495" s="7" t="s">
        <v>116</v>
      </c>
      <c r="E495" s="7" t="s">
        <v>19</v>
      </c>
      <c r="F495" s="7" t="s">
        <v>20</v>
      </c>
      <c r="G495" s="7" t="s">
        <v>556</v>
      </c>
      <c r="H495" s="14">
        <v>44154.0</v>
      </c>
      <c r="I495" s="14">
        <v>44214.0</v>
      </c>
      <c r="J495" s="8">
        <v>-1869.0</v>
      </c>
      <c r="K495" s="15">
        <v>2434163.22</v>
      </c>
      <c r="L495" s="15">
        <v>2434163.22</v>
      </c>
      <c r="M495" s="15">
        <v>4.501275961E7</v>
      </c>
    </row>
    <row r="496" ht="13.5" customHeight="1" outlineLevel="3">
      <c r="A496" s="7" t="s">
        <v>545</v>
      </c>
      <c r="B496" s="7" t="s">
        <v>25</v>
      </c>
      <c r="C496" s="7" t="s">
        <v>118</v>
      </c>
      <c r="D496" s="7" t="s">
        <v>116</v>
      </c>
      <c r="E496" s="7" t="s">
        <v>19</v>
      </c>
      <c r="F496" s="7" t="s">
        <v>20</v>
      </c>
      <c r="G496" s="7" t="s">
        <v>557</v>
      </c>
      <c r="H496" s="14">
        <v>44154.0</v>
      </c>
      <c r="I496" s="14">
        <v>44214.0</v>
      </c>
      <c r="J496" s="8">
        <v>-1869.0</v>
      </c>
      <c r="K496" s="15">
        <v>5749028.72</v>
      </c>
      <c r="L496" s="15">
        <v>5749028.72</v>
      </c>
      <c r="M496" s="15">
        <v>5.076178833E7</v>
      </c>
    </row>
    <row r="497" ht="13.5" customHeight="1" outlineLevel="3">
      <c r="A497" s="7" t="s">
        <v>545</v>
      </c>
      <c r="B497" s="7" t="s">
        <v>25</v>
      </c>
      <c r="C497" s="7" t="s">
        <v>118</v>
      </c>
      <c r="D497" s="7" t="s">
        <v>116</v>
      </c>
      <c r="E497" s="7" t="s">
        <v>19</v>
      </c>
      <c r="F497" s="7" t="s">
        <v>20</v>
      </c>
      <c r="G497" s="7" t="s">
        <v>558</v>
      </c>
      <c r="H497" s="14">
        <v>44179.0</v>
      </c>
      <c r="I497" s="14">
        <v>44240.0</v>
      </c>
      <c r="J497" s="8">
        <v>-1844.0</v>
      </c>
      <c r="K497" s="15">
        <v>4109943.94</v>
      </c>
      <c r="L497" s="15">
        <v>4109943.94</v>
      </c>
      <c r="M497" s="15">
        <v>5.487173227E7</v>
      </c>
    </row>
    <row r="498" ht="13.5" customHeight="1" outlineLevel="3">
      <c r="A498" s="7" t="s">
        <v>545</v>
      </c>
      <c r="B498" s="7" t="s">
        <v>25</v>
      </c>
      <c r="C498" s="7" t="s">
        <v>118</v>
      </c>
      <c r="D498" s="7" t="s">
        <v>116</v>
      </c>
      <c r="E498" s="7" t="s">
        <v>19</v>
      </c>
      <c r="F498" s="7" t="s">
        <v>20</v>
      </c>
      <c r="G498" s="7" t="s">
        <v>559</v>
      </c>
      <c r="H498" s="14">
        <v>44179.0</v>
      </c>
      <c r="I498" s="14">
        <v>44240.0</v>
      </c>
      <c r="J498" s="8">
        <v>-1844.0</v>
      </c>
      <c r="K498" s="15">
        <v>3231088.0</v>
      </c>
      <c r="L498" s="15">
        <v>3231088.0</v>
      </c>
      <c r="M498" s="15">
        <v>5.810282027E7</v>
      </c>
    </row>
    <row r="499" ht="13.5" customHeight="1" outlineLevel="3">
      <c r="A499" s="7" t="s">
        <v>545</v>
      </c>
      <c r="B499" s="7" t="s">
        <v>25</v>
      </c>
      <c r="C499" s="7" t="s">
        <v>118</v>
      </c>
      <c r="D499" s="7" t="s">
        <v>116</v>
      </c>
      <c r="E499" s="7" t="s">
        <v>19</v>
      </c>
      <c r="F499" s="7" t="s">
        <v>20</v>
      </c>
      <c r="G499" s="7" t="s">
        <v>560</v>
      </c>
      <c r="H499" s="14">
        <v>44221.0</v>
      </c>
      <c r="I499" s="14">
        <v>44279.0</v>
      </c>
      <c r="J499" s="8">
        <v>-1803.0</v>
      </c>
      <c r="K499" s="15">
        <v>1.647543311E7</v>
      </c>
      <c r="L499" s="15">
        <v>1.647543311E7</v>
      </c>
      <c r="M499" s="15">
        <v>7.457825338E7</v>
      </c>
    </row>
    <row r="500" ht="13.5" customHeight="1" outlineLevel="3">
      <c r="A500" s="7" t="s">
        <v>545</v>
      </c>
      <c r="B500" s="7" t="s">
        <v>25</v>
      </c>
      <c r="C500" s="7" t="s">
        <v>118</v>
      </c>
      <c r="D500" s="7" t="s">
        <v>116</v>
      </c>
      <c r="E500" s="7" t="s">
        <v>19</v>
      </c>
      <c r="F500" s="7" t="s">
        <v>20</v>
      </c>
      <c r="G500" s="7" t="s">
        <v>561</v>
      </c>
      <c r="H500" s="14">
        <v>44224.0</v>
      </c>
      <c r="I500" s="14">
        <v>44282.0</v>
      </c>
      <c r="J500" s="8">
        <v>-1800.0</v>
      </c>
      <c r="K500" s="15">
        <v>6164915.9</v>
      </c>
      <c r="L500" s="15">
        <v>6164915.9</v>
      </c>
      <c r="M500" s="15">
        <v>8.074316928E7</v>
      </c>
    </row>
    <row r="501" ht="13.5" customHeight="1" outlineLevel="3">
      <c r="A501" s="7" t="s">
        <v>545</v>
      </c>
      <c r="B501" s="7" t="s">
        <v>25</v>
      </c>
      <c r="C501" s="7" t="s">
        <v>118</v>
      </c>
      <c r="D501" s="7" t="s">
        <v>116</v>
      </c>
      <c r="E501" s="7" t="s">
        <v>19</v>
      </c>
      <c r="F501" s="7" t="s">
        <v>20</v>
      </c>
      <c r="G501" s="7" t="s">
        <v>562</v>
      </c>
      <c r="H501" s="14">
        <v>44252.0</v>
      </c>
      <c r="I501" s="14">
        <v>44310.0</v>
      </c>
      <c r="J501" s="8">
        <v>-1773.0</v>
      </c>
      <c r="K501" s="15">
        <v>7308721.06</v>
      </c>
      <c r="L501" s="15">
        <v>7308721.06</v>
      </c>
      <c r="M501" s="15">
        <v>8.805189034E7</v>
      </c>
    </row>
    <row r="502" ht="13.5" customHeight="1" outlineLevel="3">
      <c r="A502" s="7" t="s">
        <v>545</v>
      </c>
      <c r="B502" s="7" t="s">
        <v>25</v>
      </c>
      <c r="C502" s="7" t="s">
        <v>118</v>
      </c>
      <c r="D502" s="7" t="s">
        <v>116</v>
      </c>
      <c r="E502" s="7" t="s">
        <v>19</v>
      </c>
      <c r="F502" s="7" t="s">
        <v>20</v>
      </c>
      <c r="G502" s="7" t="s">
        <v>563</v>
      </c>
      <c r="H502" s="14">
        <v>44265.0</v>
      </c>
      <c r="I502" s="14">
        <v>44325.0</v>
      </c>
      <c r="J502" s="8">
        <v>-1758.0</v>
      </c>
      <c r="K502" s="15">
        <v>7350494.41</v>
      </c>
      <c r="L502" s="15">
        <v>7350494.41</v>
      </c>
      <c r="M502" s="15">
        <v>9.540238475E7</v>
      </c>
    </row>
    <row r="503" ht="13.5" customHeight="1" outlineLevel="3">
      <c r="A503" s="7" t="s">
        <v>545</v>
      </c>
      <c r="B503" s="7" t="s">
        <v>25</v>
      </c>
      <c r="C503" s="7" t="s">
        <v>118</v>
      </c>
      <c r="D503" s="7" t="s">
        <v>116</v>
      </c>
      <c r="E503" s="7" t="s">
        <v>19</v>
      </c>
      <c r="F503" s="7" t="s">
        <v>20</v>
      </c>
      <c r="G503" s="7" t="s">
        <v>564</v>
      </c>
      <c r="H503" s="14">
        <v>44272.0</v>
      </c>
      <c r="I503" s="14">
        <v>44332.0</v>
      </c>
      <c r="J503" s="8">
        <v>-1751.0</v>
      </c>
      <c r="K503" s="15">
        <v>8623543.08</v>
      </c>
      <c r="L503" s="15">
        <v>8623543.08</v>
      </c>
      <c r="M503" s="15">
        <v>1.0402592783E8</v>
      </c>
    </row>
    <row r="504" ht="13.5" customHeight="1" outlineLevel="3">
      <c r="A504" s="7" t="s">
        <v>545</v>
      </c>
      <c r="B504" s="7" t="s">
        <v>25</v>
      </c>
      <c r="C504" s="7" t="s">
        <v>118</v>
      </c>
      <c r="D504" s="7" t="s">
        <v>116</v>
      </c>
      <c r="E504" s="7" t="s">
        <v>19</v>
      </c>
      <c r="F504" s="7" t="s">
        <v>20</v>
      </c>
      <c r="G504" s="7" t="s">
        <v>565</v>
      </c>
      <c r="H504" s="14">
        <v>44273.0</v>
      </c>
      <c r="I504" s="14">
        <v>44333.0</v>
      </c>
      <c r="J504" s="8">
        <v>-1750.0</v>
      </c>
      <c r="K504" s="15">
        <v>7045618.18</v>
      </c>
      <c r="L504" s="15">
        <v>7045618.18</v>
      </c>
      <c r="M504" s="15">
        <v>1.1107154601E8</v>
      </c>
    </row>
    <row r="505" ht="13.5" customHeight="1" outlineLevel="3">
      <c r="A505" s="7" t="s">
        <v>545</v>
      </c>
      <c r="B505" s="7" t="s">
        <v>25</v>
      </c>
      <c r="C505" s="7" t="s">
        <v>118</v>
      </c>
      <c r="D505" s="7" t="s">
        <v>116</v>
      </c>
      <c r="E505" s="7" t="s">
        <v>19</v>
      </c>
      <c r="F505" s="7" t="s">
        <v>20</v>
      </c>
      <c r="G505" s="7" t="s">
        <v>566</v>
      </c>
      <c r="H505" s="14">
        <v>44298.0</v>
      </c>
      <c r="I505" s="14">
        <v>44358.0</v>
      </c>
      <c r="J505" s="8">
        <v>-1726.0</v>
      </c>
      <c r="K505" s="15">
        <v>5686484.09</v>
      </c>
      <c r="L505" s="15">
        <v>5686484.09</v>
      </c>
      <c r="M505" s="15">
        <v>1.167580301E8</v>
      </c>
    </row>
    <row r="506" ht="13.5" customHeight="1" outlineLevel="3">
      <c r="A506" s="7" t="s">
        <v>545</v>
      </c>
      <c r="B506" s="7" t="s">
        <v>25</v>
      </c>
      <c r="C506" s="7" t="s">
        <v>118</v>
      </c>
      <c r="D506" s="7" t="s">
        <v>116</v>
      </c>
      <c r="E506" s="7" t="s">
        <v>19</v>
      </c>
      <c r="F506" s="7" t="s">
        <v>20</v>
      </c>
      <c r="G506" s="7" t="s">
        <v>567</v>
      </c>
      <c r="H506" s="14">
        <v>44298.0</v>
      </c>
      <c r="I506" s="14">
        <v>44358.0</v>
      </c>
      <c r="J506" s="8">
        <v>-1726.0</v>
      </c>
      <c r="K506" s="15">
        <v>6710058.15</v>
      </c>
      <c r="L506" s="15">
        <v>6710058.15</v>
      </c>
      <c r="M506" s="15">
        <v>1.2346808825E8</v>
      </c>
    </row>
    <row r="507" ht="13.5" customHeight="1" outlineLevel="3">
      <c r="A507" s="7" t="s">
        <v>545</v>
      </c>
      <c r="B507" s="7" t="s">
        <v>25</v>
      </c>
      <c r="C507" s="7" t="s">
        <v>118</v>
      </c>
      <c r="D507" s="7" t="s">
        <v>116</v>
      </c>
      <c r="E507" s="7" t="s">
        <v>19</v>
      </c>
      <c r="F507" s="7" t="s">
        <v>20</v>
      </c>
      <c r="G507" s="7" t="s">
        <v>568</v>
      </c>
      <c r="H507" s="14">
        <v>44302.0</v>
      </c>
      <c r="I507" s="14">
        <v>44362.0</v>
      </c>
      <c r="J507" s="8">
        <v>-1722.0</v>
      </c>
      <c r="K507" s="15">
        <v>1971933.01</v>
      </c>
      <c r="L507" s="15">
        <v>1971933.01</v>
      </c>
      <c r="M507" s="15">
        <v>1.2544002126E8</v>
      </c>
    </row>
    <row r="508" ht="13.5" customHeight="1" outlineLevel="3">
      <c r="A508" s="7" t="s">
        <v>545</v>
      </c>
      <c r="B508" s="7" t="s">
        <v>25</v>
      </c>
      <c r="C508" s="7" t="s">
        <v>118</v>
      </c>
      <c r="D508" s="7" t="s">
        <v>116</v>
      </c>
      <c r="E508" s="7" t="s">
        <v>19</v>
      </c>
      <c r="F508" s="7" t="s">
        <v>20</v>
      </c>
      <c r="G508" s="7" t="s">
        <v>569</v>
      </c>
      <c r="H508" s="14">
        <v>44306.0</v>
      </c>
      <c r="I508" s="14">
        <v>44366.0</v>
      </c>
      <c r="J508" s="8">
        <v>-1718.0</v>
      </c>
      <c r="K508" s="15">
        <v>4746006.69</v>
      </c>
      <c r="L508" s="15">
        <v>4746006.69</v>
      </c>
      <c r="M508" s="15">
        <v>1.3018602795E8</v>
      </c>
    </row>
    <row r="509" ht="13.5" customHeight="1" outlineLevel="3">
      <c r="A509" s="7" t="s">
        <v>545</v>
      </c>
      <c r="B509" s="7" t="s">
        <v>25</v>
      </c>
      <c r="C509" s="7" t="s">
        <v>118</v>
      </c>
      <c r="D509" s="7" t="s">
        <v>116</v>
      </c>
      <c r="E509" s="7" t="s">
        <v>19</v>
      </c>
      <c r="F509" s="7" t="s">
        <v>20</v>
      </c>
      <c r="G509" s="7" t="s">
        <v>570</v>
      </c>
      <c r="H509" s="14">
        <v>44309.0</v>
      </c>
      <c r="I509" s="14">
        <v>44369.0</v>
      </c>
      <c r="J509" s="8">
        <v>-1715.0</v>
      </c>
      <c r="K509" s="15">
        <v>6788746.68</v>
      </c>
      <c r="L509" s="15">
        <v>6788746.68</v>
      </c>
      <c r="M509" s="15">
        <v>1.3697477463E8</v>
      </c>
    </row>
    <row r="510" ht="13.5" customHeight="1" outlineLevel="3">
      <c r="A510" s="7" t="s">
        <v>545</v>
      </c>
      <c r="B510" s="7" t="s">
        <v>25</v>
      </c>
      <c r="C510" s="7" t="s">
        <v>118</v>
      </c>
      <c r="D510" s="7" t="s">
        <v>116</v>
      </c>
      <c r="E510" s="7" t="s">
        <v>19</v>
      </c>
      <c r="F510" s="7" t="s">
        <v>20</v>
      </c>
      <c r="G510" s="7" t="s">
        <v>571</v>
      </c>
      <c r="H510" s="14">
        <v>44312.0</v>
      </c>
      <c r="I510" s="14">
        <v>44372.0</v>
      </c>
      <c r="J510" s="8">
        <v>-1712.0</v>
      </c>
      <c r="K510" s="15">
        <v>5608245.6</v>
      </c>
      <c r="L510" s="15">
        <v>5608245.6</v>
      </c>
      <c r="M510" s="15">
        <v>1.4258302023E8</v>
      </c>
    </row>
    <row r="511" ht="13.5" customHeight="1" outlineLevel="2">
      <c r="A511" s="7"/>
      <c r="B511" s="7"/>
      <c r="C511" s="7"/>
      <c r="D511" s="7"/>
      <c r="E511" s="16" t="s">
        <v>22</v>
      </c>
      <c r="F511" s="7"/>
      <c r="G511" s="7"/>
      <c r="H511" s="14"/>
      <c r="I511" s="14"/>
      <c r="J511" s="8"/>
      <c r="K511" s="15">
        <f t="shared" ref="K511:L511" si="111">SUBTOTAL(9,K485:K510)</f>
        <v>142583020.2</v>
      </c>
      <c r="L511" s="15">
        <f t="shared" si="111"/>
        <v>142583020.2</v>
      </c>
      <c r="M511" s="15"/>
    </row>
    <row r="512" ht="13.5" customHeight="1" outlineLevel="1">
      <c r="A512" s="16" t="s">
        <v>572</v>
      </c>
      <c r="B512" s="7"/>
      <c r="C512" s="7"/>
      <c r="D512" s="7"/>
      <c r="E512" s="7"/>
      <c r="F512" s="7"/>
      <c r="G512" s="7"/>
      <c r="H512" s="14"/>
      <c r="I512" s="14"/>
      <c r="J512" s="8"/>
      <c r="K512" s="15">
        <f t="shared" ref="K512:L512" si="112">SUBTOTAL(9,K485:K510)</f>
        <v>142583020.2</v>
      </c>
      <c r="L512" s="15">
        <f t="shared" si="112"/>
        <v>142583020.2</v>
      </c>
      <c r="M512" s="15"/>
    </row>
    <row r="513" ht="13.5" customHeight="1" outlineLevel="3">
      <c r="A513" s="7" t="s">
        <v>573</v>
      </c>
      <c r="B513" s="7" t="s">
        <v>56</v>
      </c>
      <c r="C513" s="7" t="s">
        <v>45</v>
      </c>
      <c r="D513" s="7" t="s">
        <v>43</v>
      </c>
      <c r="E513" s="7" t="s">
        <v>19</v>
      </c>
      <c r="F513" s="7" t="s">
        <v>20</v>
      </c>
      <c r="G513" s="7" t="s">
        <v>574</v>
      </c>
      <c r="H513" s="14">
        <v>46001.0</v>
      </c>
      <c r="I513" s="14">
        <v>46001.0</v>
      </c>
      <c r="J513" s="8">
        <v>-107.0</v>
      </c>
      <c r="K513" s="15">
        <v>3.0897844E7</v>
      </c>
      <c r="L513" s="15">
        <v>3.0897844E7</v>
      </c>
      <c r="M513" s="15">
        <v>3.0897844E7</v>
      </c>
    </row>
    <row r="514" ht="13.5" customHeight="1" outlineLevel="2">
      <c r="A514" s="7"/>
      <c r="B514" s="7"/>
      <c r="C514" s="7"/>
      <c r="D514" s="7"/>
      <c r="E514" s="16" t="s">
        <v>22</v>
      </c>
      <c r="F514" s="7"/>
      <c r="G514" s="7"/>
      <c r="H514" s="14"/>
      <c r="I514" s="14"/>
      <c r="J514" s="8"/>
      <c r="K514" s="15">
        <f t="shared" ref="K514:L514" si="113">SUBTOTAL(9,K513)</f>
        <v>30897844</v>
      </c>
      <c r="L514" s="15">
        <f t="shared" si="113"/>
        <v>30897844</v>
      </c>
      <c r="M514" s="15"/>
    </row>
    <row r="515" ht="13.5" customHeight="1" outlineLevel="1">
      <c r="A515" s="16" t="s">
        <v>575</v>
      </c>
      <c r="B515" s="7"/>
      <c r="C515" s="7"/>
      <c r="D515" s="7"/>
      <c r="E515" s="7"/>
      <c r="F515" s="7"/>
      <c r="G515" s="7"/>
      <c r="H515" s="14"/>
      <c r="I515" s="14"/>
      <c r="J515" s="8"/>
      <c r="K515" s="15">
        <f t="shared" ref="K515:L515" si="114">SUBTOTAL(9,K513)</f>
        <v>30897844</v>
      </c>
      <c r="L515" s="15">
        <f t="shared" si="114"/>
        <v>30897844</v>
      </c>
      <c r="M515" s="15"/>
    </row>
    <row r="516" ht="13.5" customHeight="1" outlineLevel="3">
      <c r="A516" s="7" t="s">
        <v>576</v>
      </c>
      <c r="B516" s="7" t="s">
        <v>131</v>
      </c>
      <c r="C516" s="7" t="s">
        <v>86</v>
      </c>
      <c r="D516" s="7" t="s">
        <v>43</v>
      </c>
      <c r="E516" s="7" t="s">
        <v>19</v>
      </c>
      <c r="F516" s="7" t="s">
        <v>20</v>
      </c>
      <c r="G516" s="7" t="s">
        <v>577</v>
      </c>
      <c r="H516" s="14">
        <v>46076.0</v>
      </c>
      <c r="I516" s="14">
        <v>46103.0</v>
      </c>
      <c r="J516" s="8">
        <v>-5.0</v>
      </c>
      <c r="K516" s="15">
        <v>5380324.16</v>
      </c>
      <c r="L516" s="15">
        <v>5380324.16</v>
      </c>
      <c r="M516" s="15">
        <v>5380324.16</v>
      </c>
    </row>
    <row r="517" ht="13.5" customHeight="1" outlineLevel="3">
      <c r="A517" s="7" t="s">
        <v>576</v>
      </c>
      <c r="B517" s="7" t="s">
        <v>131</v>
      </c>
      <c r="C517" s="7" t="s">
        <v>86</v>
      </c>
      <c r="D517" s="7" t="s">
        <v>43</v>
      </c>
      <c r="E517" s="7" t="s">
        <v>19</v>
      </c>
      <c r="F517" s="7" t="s">
        <v>20</v>
      </c>
      <c r="G517" s="7" t="s">
        <v>578</v>
      </c>
      <c r="H517" s="14">
        <v>46107.0</v>
      </c>
      <c r="I517" s="14">
        <v>46137.0</v>
      </c>
      <c r="J517" s="8">
        <v>28.0</v>
      </c>
      <c r="K517" s="15">
        <v>3951155.75</v>
      </c>
      <c r="L517" s="15">
        <v>0.0</v>
      </c>
      <c r="M517" s="15">
        <v>5380324.16</v>
      </c>
    </row>
    <row r="518" ht="13.5" customHeight="1" outlineLevel="2">
      <c r="A518" s="7"/>
      <c r="B518" s="7"/>
      <c r="C518" s="7"/>
      <c r="D518" s="7"/>
      <c r="E518" s="16" t="s">
        <v>22</v>
      </c>
      <c r="F518" s="7"/>
      <c r="G518" s="7"/>
      <c r="H518" s="14"/>
      <c r="I518" s="14"/>
      <c r="J518" s="8"/>
      <c r="K518" s="15">
        <f t="shared" ref="K518:L518" si="115">SUBTOTAL(9,K516:K517)</f>
        <v>9331479.91</v>
      </c>
      <c r="L518" s="15">
        <f t="shared" si="115"/>
        <v>5380324.16</v>
      </c>
      <c r="M518" s="15"/>
    </row>
    <row r="519" ht="13.5" customHeight="1" outlineLevel="1">
      <c r="A519" s="16" t="s">
        <v>579</v>
      </c>
      <c r="B519" s="7"/>
      <c r="C519" s="7"/>
      <c r="D519" s="7"/>
      <c r="E519" s="7"/>
      <c r="F519" s="7"/>
      <c r="G519" s="7"/>
      <c r="H519" s="14"/>
      <c r="I519" s="14"/>
      <c r="J519" s="8"/>
      <c r="K519" s="15">
        <f t="shared" ref="K519:L519" si="116">SUBTOTAL(9,K516:K517)</f>
        <v>9331479.91</v>
      </c>
      <c r="L519" s="15">
        <f t="shared" si="116"/>
        <v>5380324.16</v>
      </c>
      <c r="M519" s="15"/>
    </row>
    <row r="520" ht="13.5" customHeight="1" outlineLevel="3">
      <c r="A520" s="7" t="s">
        <v>580</v>
      </c>
      <c r="B520" s="7" t="s">
        <v>25</v>
      </c>
      <c r="C520" s="7" t="s">
        <v>45</v>
      </c>
      <c r="D520" s="7" t="s">
        <v>116</v>
      </c>
      <c r="E520" s="7" t="s">
        <v>19</v>
      </c>
      <c r="F520" s="7" t="s">
        <v>20</v>
      </c>
      <c r="G520" s="7" t="s">
        <v>581</v>
      </c>
      <c r="H520" s="14">
        <v>46078.0</v>
      </c>
      <c r="I520" s="14">
        <v>46078.0</v>
      </c>
      <c r="J520" s="8">
        <v>-32.0</v>
      </c>
      <c r="K520" s="15">
        <v>-192816.33</v>
      </c>
      <c r="L520" s="15">
        <v>-192816.33</v>
      </c>
      <c r="M520" s="15">
        <v>-192816.33</v>
      </c>
    </row>
    <row r="521" ht="13.5" customHeight="1" outlineLevel="3">
      <c r="A521" s="7" t="s">
        <v>580</v>
      </c>
      <c r="B521" s="7" t="s">
        <v>25</v>
      </c>
      <c r="C521" s="7" t="s">
        <v>118</v>
      </c>
      <c r="D521" s="7" t="s">
        <v>116</v>
      </c>
      <c r="E521" s="7" t="s">
        <v>19</v>
      </c>
      <c r="F521" s="7" t="s">
        <v>20</v>
      </c>
      <c r="G521" s="7" t="s">
        <v>582</v>
      </c>
      <c r="H521" s="14">
        <v>46091.0</v>
      </c>
      <c r="I521" s="14">
        <v>46151.0</v>
      </c>
      <c r="J521" s="8">
        <v>42.0</v>
      </c>
      <c r="K521" s="15">
        <v>2.954512171E7</v>
      </c>
      <c r="L521" s="15">
        <v>0.0</v>
      </c>
      <c r="M521" s="15">
        <v>-192816.33</v>
      </c>
    </row>
    <row r="522" ht="13.5" customHeight="1" outlineLevel="3">
      <c r="A522" s="7" t="s">
        <v>580</v>
      </c>
      <c r="B522" s="7" t="s">
        <v>25</v>
      </c>
      <c r="C522" s="7" t="s">
        <v>118</v>
      </c>
      <c r="D522" s="7" t="s">
        <v>116</v>
      </c>
      <c r="E522" s="7" t="s">
        <v>19</v>
      </c>
      <c r="F522" s="7" t="s">
        <v>20</v>
      </c>
      <c r="G522" s="7" t="s">
        <v>583</v>
      </c>
      <c r="H522" s="14">
        <v>46093.0</v>
      </c>
      <c r="I522" s="14">
        <v>46153.0</v>
      </c>
      <c r="J522" s="8">
        <v>44.0</v>
      </c>
      <c r="K522" s="15">
        <v>731121.35</v>
      </c>
      <c r="L522" s="15">
        <v>0.0</v>
      </c>
      <c r="M522" s="15">
        <v>-192816.33</v>
      </c>
    </row>
    <row r="523" ht="13.5" customHeight="1" outlineLevel="3">
      <c r="A523" s="7" t="s">
        <v>580</v>
      </c>
      <c r="B523" s="7" t="s">
        <v>25</v>
      </c>
      <c r="C523" s="7" t="s">
        <v>118</v>
      </c>
      <c r="D523" s="7" t="s">
        <v>116</v>
      </c>
      <c r="E523" s="7" t="s">
        <v>19</v>
      </c>
      <c r="F523" s="7" t="s">
        <v>20</v>
      </c>
      <c r="G523" s="7" t="s">
        <v>584</v>
      </c>
      <c r="H523" s="14">
        <v>46097.0</v>
      </c>
      <c r="I523" s="14">
        <v>46157.0</v>
      </c>
      <c r="J523" s="8">
        <v>48.0</v>
      </c>
      <c r="K523" s="15">
        <v>1.607648835E7</v>
      </c>
      <c r="L523" s="15">
        <v>0.0</v>
      </c>
      <c r="M523" s="15">
        <v>-192816.33</v>
      </c>
    </row>
    <row r="524" ht="13.5" customHeight="1" outlineLevel="3">
      <c r="A524" s="7" t="s">
        <v>580</v>
      </c>
      <c r="B524" s="7" t="s">
        <v>25</v>
      </c>
      <c r="C524" s="7" t="s">
        <v>118</v>
      </c>
      <c r="D524" s="7" t="s">
        <v>116</v>
      </c>
      <c r="E524" s="7" t="s">
        <v>19</v>
      </c>
      <c r="F524" s="7" t="s">
        <v>20</v>
      </c>
      <c r="G524" s="7" t="s">
        <v>585</v>
      </c>
      <c r="H524" s="14">
        <v>46099.0</v>
      </c>
      <c r="I524" s="14">
        <v>46159.0</v>
      </c>
      <c r="J524" s="8">
        <v>50.0</v>
      </c>
      <c r="K524" s="15">
        <v>2.37235701E7</v>
      </c>
      <c r="L524" s="15">
        <v>0.0</v>
      </c>
      <c r="M524" s="15">
        <v>-192816.33</v>
      </c>
    </row>
    <row r="525" ht="13.5" customHeight="1" outlineLevel="3">
      <c r="A525" s="7" t="s">
        <v>580</v>
      </c>
      <c r="B525" s="7" t="s">
        <v>25</v>
      </c>
      <c r="C525" s="7" t="s">
        <v>118</v>
      </c>
      <c r="D525" s="7" t="s">
        <v>116</v>
      </c>
      <c r="E525" s="7" t="s">
        <v>19</v>
      </c>
      <c r="F525" s="7" t="s">
        <v>20</v>
      </c>
      <c r="G525" s="7" t="s">
        <v>586</v>
      </c>
      <c r="H525" s="14">
        <v>46105.0</v>
      </c>
      <c r="I525" s="14">
        <v>46165.0</v>
      </c>
      <c r="J525" s="8">
        <v>56.0</v>
      </c>
      <c r="K525" s="15">
        <v>517940.36</v>
      </c>
      <c r="L525" s="15">
        <v>0.0</v>
      </c>
      <c r="M525" s="15">
        <v>-192816.33</v>
      </c>
    </row>
    <row r="526" ht="13.5" customHeight="1" outlineLevel="3">
      <c r="A526" s="7" t="s">
        <v>580</v>
      </c>
      <c r="B526" s="7" t="s">
        <v>25</v>
      </c>
      <c r="C526" s="7" t="s">
        <v>118</v>
      </c>
      <c r="D526" s="7" t="s">
        <v>116</v>
      </c>
      <c r="E526" s="7" t="s">
        <v>19</v>
      </c>
      <c r="F526" s="7" t="s">
        <v>20</v>
      </c>
      <c r="G526" s="7" t="s">
        <v>587</v>
      </c>
      <c r="H526" s="14">
        <v>46107.0</v>
      </c>
      <c r="I526" s="14">
        <v>46167.0</v>
      </c>
      <c r="J526" s="8">
        <v>58.0</v>
      </c>
      <c r="K526" s="15">
        <v>2.494430166E7</v>
      </c>
      <c r="L526" s="15">
        <v>0.0</v>
      </c>
      <c r="M526" s="15">
        <v>-192816.33</v>
      </c>
    </row>
    <row r="527" ht="13.5" customHeight="1" outlineLevel="2">
      <c r="A527" s="7"/>
      <c r="B527" s="7"/>
      <c r="C527" s="7"/>
      <c r="D527" s="7"/>
      <c r="E527" s="16" t="s">
        <v>22</v>
      </c>
      <c r="F527" s="7"/>
      <c r="G527" s="7"/>
      <c r="H527" s="14"/>
      <c r="I527" s="14"/>
      <c r="J527" s="8"/>
      <c r="K527" s="15">
        <f t="shared" ref="K527:L527" si="117">SUBTOTAL(9,K520:K526)</f>
        <v>95345727.2</v>
      </c>
      <c r="L527" s="15">
        <f t="shared" si="117"/>
        <v>-192816.33</v>
      </c>
      <c r="M527" s="15"/>
    </row>
    <row r="528" ht="13.5" customHeight="1" outlineLevel="1">
      <c r="A528" s="16" t="s">
        <v>588</v>
      </c>
      <c r="B528" s="7"/>
      <c r="C528" s="7"/>
      <c r="D528" s="7"/>
      <c r="E528" s="7"/>
      <c r="F528" s="7"/>
      <c r="G528" s="7"/>
      <c r="H528" s="14"/>
      <c r="I528" s="14"/>
      <c r="J528" s="8"/>
      <c r="K528" s="15">
        <f t="shared" ref="K528:L528" si="118">SUBTOTAL(9,K520:K526)</f>
        <v>95345727.2</v>
      </c>
      <c r="L528" s="15">
        <f t="shared" si="118"/>
        <v>-192816.33</v>
      </c>
      <c r="M528" s="15"/>
    </row>
    <row r="529" ht="13.5" customHeight="1" outlineLevel="3">
      <c r="A529" s="7" t="s">
        <v>589</v>
      </c>
      <c r="B529" s="7" t="s">
        <v>590</v>
      </c>
      <c r="C529" s="7" t="s">
        <v>45</v>
      </c>
      <c r="D529" s="7" t="s">
        <v>27</v>
      </c>
      <c r="E529" s="7" t="s">
        <v>19</v>
      </c>
      <c r="F529" s="7" t="s">
        <v>20</v>
      </c>
      <c r="G529" s="7" t="s">
        <v>591</v>
      </c>
      <c r="H529" s="14">
        <v>46078.0</v>
      </c>
      <c r="I529" s="14">
        <v>46106.0</v>
      </c>
      <c r="J529" s="8">
        <v>-2.0</v>
      </c>
      <c r="K529" s="15">
        <v>2.119831037E7</v>
      </c>
      <c r="L529" s="15">
        <v>2.119831037E7</v>
      </c>
      <c r="M529" s="15">
        <v>2.119831037E7</v>
      </c>
    </row>
    <row r="530" ht="13.5" customHeight="1" outlineLevel="3">
      <c r="A530" s="7" t="s">
        <v>589</v>
      </c>
      <c r="B530" s="7" t="s">
        <v>590</v>
      </c>
      <c r="C530" s="7" t="s">
        <v>26</v>
      </c>
      <c r="D530" s="7" t="s">
        <v>27</v>
      </c>
      <c r="E530" s="7" t="s">
        <v>19</v>
      </c>
      <c r="F530" s="7" t="s">
        <v>20</v>
      </c>
      <c r="G530" s="7" t="s">
        <v>592</v>
      </c>
      <c r="H530" s="14">
        <v>46090.0</v>
      </c>
      <c r="I530" s="14">
        <v>46121.0</v>
      </c>
      <c r="J530" s="8">
        <v>12.0</v>
      </c>
      <c r="K530" s="15">
        <v>1.154646062E7</v>
      </c>
      <c r="L530" s="15">
        <v>0.0</v>
      </c>
      <c r="M530" s="15">
        <v>2.119831037E7</v>
      </c>
    </row>
    <row r="531" ht="13.5" customHeight="1" outlineLevel="3">
      <c r="A531" s="7" t="s">
        <v>589</v>
      </c>
      <c r="B531" s="7" t="s">
        <v>590</v>
      </c>
      <c r="C531" s="7" t="s">
        <v>26</v>
      </c>
      <c r="D531" s="7" t="s">
        <v>27</v>
      </c>
      <c r="E531" s="7" t="s">
        <v>19</v>
      </c>
      <c r="F531" s="7" t="s">
        <v>20</v>
      </c>
      <c r="G531" s="7" t="s">
        <v>593</v>
      </c>
      <c r="H531" s="14">
        <v>46105.0</v>
      </c>
      <c r="I531" s="14">
        <v>46136.0</v>
      </c>
      <c r="J531" s="8">
        <v>27.0</v>
      </c>
      <c r="K531" s="15">
        <v>3517659.25</v>
      </c>
      <c r="L531" s="15">
        <v>0.0</v>
      </c>
      <c r="M531" s="15">
        <v>2.119831037E7</v>
      </c>
    </row>
    <row r="532" ht="13.5" customHeight="1" outlineLevel="2">
      <c r="A532" s="7"/>
      <c r="B532" s="7"/>
      <c r="C532" s="7"/>
      <c r="D532" s="7"/>
      <c r="E532" s="16" t="s">
        <v>22</v>
      </c>
      <c r="F532" s="7"/>
      <c r="G532" s="7"/>
      <c r="H532" s="14"/>
      <c r="I532" s="14"/>
      <c r="J532" s="8"/>
      <c r="K532" s="15">
        <f t="shared" ref="K532:L532" si="119">SUBTOTAL(9,K529:K531)</f>
        <v>36262430.24</v>
      </c>
      <c r="L532" s="15">
        <f t="shared" si="119"/>
        <v>21198310.37</v>
      </c>
      <c r="M532" s="15"/>
    </row>
    <row r="533" ht="13.5" customHeight="1" outlineLevel="1">
      <c r="A533" s="16" t="s">
        <v>594</v>
      </c>
      <c r="B533" s="7"/>
      <c r="C533" s="7"/>
      <c r="D533" s="7"/>
      <c r="E533" s="7"/>
      <c r="F533" s="7"/>
      <c r="G533" s="7"/>
      <c r="H533" s="14"/>
      <c r="I533" s="14"/>
      <c r="J533" s="8"/>
      <c r="K533" s="15">
        <f t="shared" ref="K533:L533" si="120">SUBTOTAL(9,K529:K531)</f>
        <v>36262430.24</v>
      </c>
      <c r="L533" s="15">
        <f t="shared" si="120"/>
        <v>21198310.37</v>
      </c>
      <c r="M533" s="15"/>
    </row>
    <row r="534" ht="13.5" customHeight="1" outlineLevel="3">
      <c r="A534" s="7" t="s">
        <v>595</v>
      </c>
      <c r="B534" s="7" t="s">
        <v>25</v>
      </c>
      <c r="C534" s="7" t="s">
        <v>86</v>
      </c>
      <c r="D534" s="7" t="s">
        <v>116</v>
      </c>
      <c r="E534" s="7" t="s">
        <v>19</v>
      </c>
      <c r="F534" s="7" t="s">
        <v>20</v>
      </c>
      <c r="G534" s="7" t="s">
        <v>596</v>
      </c>
      <c r="H534" s="14">
        <v>46065.0</v>
      </c>
      <c r="I534" s="14">
        <v>46092.0</v>
      </c>
      <c r="J534" s="8">
        <v>-16.0</v>
      </c>
      <c r="K534" s="15">
        <v>1488900.35</v>
      </c>
      <c r="L534" s="15">
        <v>1488900.35</v>
      </c>
      <c r="M534" s="15">
        <v>1488900.35</v>
      </c>
    </row>
    <row r="535" ht="13.5" customHeight="1" outlineLevel="3">
      <c r="A535" s="7" t="s">
        <v>595</v>
      </c>
      <c r="B535" s="7" t="s">
        <v>25</v>
      </c>
      <c r="C535" s="7" t="s">
        <v>86</v>
      </c>
      <c r="D535" s="7" t="s">
        <v>116</v>
      </c>
      <c r="E535" s="7" t="s">
        <v>19</v>
      </c>
      <c r="F535" s="7" t="s">
        <v>20</v>
      </c>
      <c r="G535" s="7" t="s">
        <v>597</v>
      </c>
      <c r="H535" s="14">
        <v>46086.0</v>
      </c>
      <c r="I535" s="14">
        <v>46116.0</v>
      </c>
      <c r="J535" s="8">
        <v>7.0</v>
      </c>
      <c r="K535" s="15">
        <v>2502101.46</v>
      </c>
      <c r="L535" s="15">
        <v>0.0</v>
      </c>
      <c r="M535" s="15">
        <v>1488900.35</v>
      </c>
    </row>
    <row r="536" ht="13.5" customHeight="1" outlineLevel="3">
      <c r="A536" s="7" t="s">
        <v>595</v>
      </c>
      <c r="B536" s="7" t="s">
        <v>25</v>
      </c>
      <c r="C536" s="7" t="s">
        <v>86</v>
      </c>
      <c r="D536" s="7" t="s">
        <v>116</v>
      </c>
      <c r="E536" s="7" t="s">
        <v>19</v>
      </c>
      <c r="F536" s="7" t="s">
        <v>20</v>
      </c>
      <c r="G536" s="7" t="s">
        <v>598</v>
      </c>
      <c r="H536" s="14">
        <v>46100.0</v>
      </c>
      <c r="I536" s="14">
        <v>46130.0</v>
      </c>
      <c r="J536" s="8">
        <v>21.0</v>
      </c>
      <c r="K536" s="15">
        <v>627154.18</v>
      </c>
      <c r="L536" s="15">
        <v>0.0</v>
      </c>
      <c r="M536" s="15">
        <v>1488900.35</v>
      </c>
    </row>
    <row r="537" ht="13.5" customHeight="1" outlineLevel="2">
      <c r="A537" s="7"/>
      <c r="B537" s="7"/>
      <c r="C537" s="7"/>
      <c r="D537" s="7"/>
      <c r="E537" s="16" t="s">
        <v>22</v>
      </c>
      <c r="F537" s="7"/>
      <c r="G537" s="7"/>
      <c r="H537" s="14"/>
      <c r="I537" s="14"/>
      <c r="J537" s="8"/>
      <c r="K537" s="15">
        <f t="shared" ref="K537:L537" si="121">SUBTOTAL(9,K534:K536)</f>
        <v>4618155.99</v>
      </c>
      <c r="L537" s="15">
        <f t="shared" si="121"/>
        <v>1488900.35</v>
      </c>
      <c r="M537" s="15"/>
    </row>
    <row r="538" ht="13.5" customHeight="1" outlineLevel="1">
      <c r="A538" s="16" t="s">
        <v>599</v>
      </c>
      <c r="B538" s="7"/>
      <c r="C538" s="7"/>
      <c r="D538" s="7"/>
      <c r="E538" s="7"/>
      <c r="F538" s="7"/>
      <c r="G538" s="7"/>
      <c r="H538" s="14"/>
      <c r="I538" s="14"/>
      <c r="J538" s="8"/>
      <c r="K538" s="15">
        <f t="shared" ref="K538:L538" si="122">SUBTOTAL(9,K534:K536)</f>
        <v>4618155.99</v>
      </c>
      <c r="L538" s="15">
        <f t="shared" si="122"/>
        <v>1488900.35</v>
      </c>
      <c r="M538" s="15"/>
    </row>
    <row r="539" ht="13.5" customHeight="1" outlineLevel="3">
      <c r="A539" s="7" t="s">
        <v>600</v>
      </c>
      <c r="B539" s="7" t="s">
        <v>601</v>
      </c>
      <c r="C539" s="7" t="s">
        <v>42</v>
      </c>
      <c r="D539" s="7" t="s">
        <v>43</v>
      </c>
      <c r="E539" s="7" t="s">
        <v>19</v>
      </c>
      <c r="F539" s="7" t="s">
        <v>20</v>
      </c>
      <c r="G539" s="7" t="s">
        <v>602</v>
      </c>
      <c r="H539" s="14">
        <v>46093.0</v>
      </c>
      <c r="I539" s="14">
        <v>46123.0</v>
      </c>
      <c r="J539" s="8">
        <v>14.0</v>
      </c>
      <c r="K539" s="15">
        <v>2.053045715E7</v>
      </c>
      <c r="L539" s="15">
        <v>0.0</v>
      </c>
      <c r="M539" s="15">
        <v>0.0</v>
      </c>
    </row>
    <row r="540" ht="13.5" customHeight="1" outlineLevel="2">
      <c r="A540" s="7"/>
      <c r="B540" s="7"/>
      <c r="C540" s="7"/>
      <c r="D540" s="7"/>
      <c r="E540" s="16" t="s">
        <v>22</v>
      </c>
      <c r="F540" s="7"/>
      <c r="G540" s="7"/>
      <c r="H540" s="14"/>
      <c r="I540" s="14"/>
      <c r="J540" s="8"/>
      <c r="K540" s="15">
        <f t="shared" ref="K540:L540" si="123">SUBTOTAL(9,K539)</f>
        <v>20530457.15</v>
      </c>
      <c r="L540" s="15">
        <f t="shared" si="123"/>
        <v>0</v>
      </c>
      <c r="M540" s="15"/>
    </row>
    <row r="541" ht="13.5" customHeight="1" outlineLevel="1">
      <c r="A541" s="16" t="s">
        <v>603</v>
      </c>
      <c r="B541" s="7"/>
      <c r="C541" s="7"/>
      <c r="D541" s="7"/>
      <c r="E541" s="7"/>
      <c r="F541" s="7"/>
      <c r="G541" s="7"/>
      <c r="H541" s="14"/>
      <c r="I541" s="14"/>
      <c r="J541" s="8"/>
      <c r="K541" s="15">
        <f t="shared" ref="K541:L541" si="124">SUBTOTAL(9,K539)</f>
        <v>20530457.15</v>
      </c>
      <c r="L541" s="15">
        <f t="shared" si="124"/>
        <v>0</v>
      </c>
      <c r="M541" s="15"/>
    </row>
    <row r="542" ht="13.5" customHeight="1" outlineLevel="3">
      <c r="A542" s="7" t="s">
        <v>604</v>
      </c>
      <c r="B542" s="7" t="s">
        <v>25</v>
      </c>
      <c r="C542" s="7" t="s">
        <v>45</v>
      </c>
      <c r="D542" s="7" t="s">
        <v>213</v>
      </c>
      <c r="E542" s="7" t="s">
        <v>19</v>
      </c>
      <c r="F542" s="7" t="s">
        <v>20</v>
      </c>
      <c r="G542" s="7" t="s">
        <v>605</v>
      </c>
      <c r="H542" s="14">
        <v>45821.0</v>
      </c>
      <c r="I542" s="14">
        <v>45821.0</v>
      </c>
      <c r="J542" s="8">
        <v>-284.0</v>
      </c>
      <c r="K542" s="15">
        <v>-212622.13</v>
      </c>
      <c r="L542" s="15">
        <v>-212622.13</v>
      </c>
      <c r="M542" s="15">
        <v>-212622.13</v>
      </c>
    </row>
    <row r="543" ht="13.5" customHeight="1" outlineLevel="2">
      <c r="A543" s="7"/>
      <c r="B543" s="7"/>
      <c r="C543" s="7"/>
      <c r="D543" s="7"/>
      <c r="E543" s="16" t="s">
        <v>22</v>
      </c>
      <c r="F543" s="7"/>
      <c r="G543" s="7"/>
      <c r="H543" s="14"/>
      <c r="I543" s="14"/>
      <c r="J543" s="8"/>
      <c r="K543" s="15">
        <f t="shared" ref="K543:L543" si="125">SUBTOTAL(9,K542)</f>
        <v>-212622.13</v>
      </c>
      <c r="L543" s="15">
        <f t="shared" si="125"/>
        <v>-212622.13</v>
      </c>
      <c r="M543" s="15"/>
    </row>
    <row r="544" ht="13.5" customHeight="1" outlineLevel="1">
      <c r="A544" s="16" t="s">
        <v>606</v>
      </c>
      <c r="B544" s="7"/>
      <c r="C544" s="7"/>
      <c r="D544" s="7"/>
      <c r="E544" s="7"/>
      <c r="F544" s="7"/>
      <c r="G544" s="7"/>
      <c r="H544" s="14"/>
      <c r="I544" s="14"/>
      <c r="J544" s="8"/>
      <c r="K544" s="15">
        <f t="shared" ref="K544:L544" si="126">SUBTOTAL(9,K542)</f>
        <v>-212622.13</v>
      </c>
      <c r="L544" s="15">
        <f t="shared" si="126"/>
        <v>-212622.13</v>
      </c>
      <c r="M544" s="15"/>
    </row>
    <row r="545" ht="13.5" customHeight="1" outlineLevel="3">
      <c r="A545" s="7" t="s">
        <v>607</v>
      </c>
      <c r="B545" s="7" t="s">
        <v>131</v>
      </c>
      <c r="C545" s="7" t="s">
        <v>17</v>
      </c>
      <c r="D545" s="7" t="s">
        <v>18</v>
      </c>
      <c r="E545" s="7" t="s">
        <v>19</v>
      </c>
      <c r="F545" s="7" t="s">
        <v>20</v>
      </c>
      <c r="G545" s="7" t="s">
        <v>608</v>
      </c>
      <c r="H545" s="14">
        <v>44284.0</v>
      </c>
      <c r="I545" s="14">
        <v>44316.0</v>
      </c>
      <c r="J545" s="8">
        <v>-1767.0</v>
      </c>
      <c r="K545" s="15">
        <v>1536122.4</v>
      </c>
      <c r="L545" s="15">
        <v>1536122.4</v>
      </c>
      <c r="M545" s="15">
        <v>1536122.4</v>
      </c>
    </row>
    <row r="546" ht="13.5" customHeight="1" outlineLevel="3">
      <c r="A546" s="7" t="s">
        <v>607</v>
      </c>
      <c r="B546" s="7" t="s">
        <v>131</v>
      </c>
      <c r="C546" s="7" t="s">
        <v>17</v>
      </c>
      <c r="D546" s="7" t="s">
        <v>18</v>
      </c>
      <c r="E546" s="7" t="s">
        <v>19</v>
      </c>
      <c r="F546" s="7" t="s">
        <v>20</v>
      </c>
      <c r="G546" s="7" t="s">
        <v>609</v>
      </c>
      <c r="H546" s="14">
        <v>44284.0</v>
      </c>
      <c r="I546" s="14">
        <v>44320.0</v>
      </c>
      <c r="J546" s="8">
        <v>-1763.0</v>
      </c>
      <c r="K546" s="15">
        <v>939612.1</v>
      </c>
      <c r="L546" s="15">
        <v>939612.1</v>
      </c>
      <c r="M546" s="15">
        <v>2475734.5</v>
      </c>
    </row>
    <row r="547" ht="13.5" customHeight="1" outlineLevel="3">
      <c r="A547" s="7" t="s">
        <v>607</v>
      </c>
      <c r="B547" s="7" t="s">
        <v>131</v>
      </c>
      <c r="C547" s="7" t="s">
        <v>17</v>
      </c>
      <c r="D547" s="7" t="s">
        <v>18</v>
      </c>
      <c r="E547" s="7" t="s">
        <v>19</v>
      </c>
      <c r="F547" s="7" t="s">
        <v>20</v>
      </c>
      <c r="G547" s="7" t="s">
        <v>610</v>
      </c>
      <c r="H547" s="14">
        <v>44284.0</v>
      </c>
      <c r="I547" s="14">
        <v>44344.0</v>
      </c>
      <c r="J547" s="8">
        <v>-1739.0</v>
      </c>
      <c r="K547" s="15">
        <v>784543.2</v>
      </c>
      <c r="L547" s="15">
        <v>784543.2</v>
      </c>
      <c r="M547" s="15">
        <v>3260277.7</v>
      </c>
    </row>
    <row r="548" ht="13.5" customHeight="1" outlineLevel="2">
      <c r="A548" s="7"/>
      <c r="B548" s="7"/>
      <c r="C548" s="7"/>
      <c r="D548" s="7"/>
      <c r="E548" s="16" t="s">
        <v>22</v>
      </c>
      <c r="F548" s="7"/>
      <c r="G548" s="7"/>
      <c r="H548" s="14"/>
      <c r="I548" s="14"/>
      <c r="J548" s="8"/>
      <c r="K548" s="15">
        <f t="shared" ref="K548:L548" si="127">SUBTOTAL(9,K545:K547)</f>
        <v>3260277.7</v>
      </c>
      <c r="L548" s="15">
        <f t="shared" si="127"/>
        <v>3260277.7</v>
      </c>
      <c r="M548" s="15"/>
    </row>
    <row r="549" ht="13.5" customHeight="1" outlineLevel="1">
      <c r="A549" s="16" t="s">
        <v>611</v>
      </c>
      <c r="B549" s="7"/>
      <c r="C549" s="7"/>
      <c r="D549" s="7"/>
      <c r="E549" s="7"/>
      <c r="F549" s="7"/>
      <c r="G549" s="7"/>
      <c r="H549" s="14"/>
      <c r="I549" s="14"/>
      <c r="J549" s="8"/>
      <c r="K549" s="15">
        <f t="shared" ref="K549:L549" si="128">SUBTOTAL(9,K545:K547)</f>
        <v>3260277.7</v>
      </c>
      <c r="L549" s="15">
        <f t="shared" si="128"/>
        <v>3260277.7</v>
      </c>
      <c r="M549" s="15"/>
    </row>
    <row r="550" ht="13.5" customHeight="1" outlineLevel="3">
      <c r="A550" s="7" t="s">
        <v>612</v>
      </c>
      <c r="B550" s="7" t="s">
        <v>25</v>
      </c>
      <c r="C550" s="7" t="s">
        <v>45</v>
      </c>
      <c r="D550" s="7" t="s">
        <v>239</v>
      </c>
      <c r="E550" s="7" t="s">
        <v>19</v>
      </c>
      <c r="F550" s="7" t="s">
        <v>20</v>
      </c>
      <c r="G550" s="7" t="s">
        <v>613</v>
      </c>
      <c r="H550" s="14">
        <v>46066.0</v>
      </c>
      <c r="I550" s="14">
        <v>46066.0</v>
      </c>
      <c r="J550" s="8">
        <v>-44.0</v>
      </c>
      <c r="K550" s="15">
        <v>-104577.12</v>
      </c>
      <c r="L550" s="15">
        <v>-104577.12</v>
      </c>
      <c r="M550" s="15">
        <v>-104577.12</v>
      </c>
    </row>
    <row r="551" ht="13.5" customHeight="1" outlineLevel="2">
      <c r="A551" s="7"/>
      <c r="B551" s="7"/>
      <c r="C551" s="7"/>
      <c r="D551" s="7"/>
      <c r="E551" s="16" t="s">
        <v>22</v>
      </c>
      <c r="F551" s="7"/>
      <c r="G551" s="7"/>
      <c r="H551" s="14"/>
      <c r="I551" s="14"/>
      <c r="J551" s="8"/>
      <c r="K551" s="15">
        <f t="shared" ref="K551:L551" si="129">SUBTOTAL(9,K550)</f>
        <v>-104577.12</v>
      </c>
      <c r="L551" s="15">
        <f t="shared" si="129"/>
        <v>-104577.12</v>
      </c>
      <c r="M551" s="15"/>
    </row>
    <row r="552" ht="13.5" customHeight="1" outlineLevel="1">
      <c r="A552" s="16" t="s">
        <v>614</v>
      </c>
      <c r="B552" s="7"/>
      <c r="C552" s="7"/>
      <c r="D552" s="7"/>
      <c r="E552" s="7"/>
      <c r="F552" s="7"/>
      <c r="G552" s="7"/>
      <c r="H552" s="14"/>
      <c r="I552" s="14"/>
      <c r="J552" s="8"/>
      <c r="K552" s="15">
        <f t="shared" ref="K552:L552" si="130">SUBTOTAL(9,K550)</f>
        <v>-104577.12</v>
      </c>
      <c r="L552" s="15">
        <f t="shared" si="130"/>
        <v>-104577.12</v>
      </c>
      <c r="M552" s="15"/>
    </row>
    <row r="553" ht="13.5" customHeight="1" outlineLevel="3">
      <c r="A553" s="7" t="s">
        <v>615</v>
      </c>
      <c r="B553" s="7" t="s">
        <v>616</v>
      </c>
      <c r="C553" s="7" t="s">
        <v>45</v>
      </c>
      <c r="D553" s="7" t="s">
        <v>43</v>
      </c>
      <c r="E553" s="7" t="s">
        <v>19</v>
      </c>
      <c r="F553" s="7" t="s">
        <v>20</v>
      </c>
      <c r="G553" s="7" t="s">
        <v>617</v>
      </c>
      <c r="H553" s="14">
        <v>46099.0</v>
      </c>
      <c r="I553" s="14">
        <v>46099.0</v>
      </c>
      <c r="J553" s="8">
        <v>-9.0</v>
      </c>
      <c r="K553" s="15">
        <v>-154994.0</v>
      </c>
      <c r="L553" s="15">
        <v>-154994.0</v>
      </c>
      <c r="M553" s="15">
        <v>-154994.0</v>
      </c>
    </row>
    <row r="554" ht="13.5" customHeight="1" outlineLevel="2">
      <c r="A554" s="7"/>
      <c r="B554" s="7"/>
      <c r="C554" s="7"/>
      <c r="D554" s="7"/>
      <c r="E554" s="16" t="s">
        <v>22</v>
      </c>
      <c r="F554" s="7"/>
      <c r="G554" s="7"/>
      <c r="H554" s="14"/>
      <c r="I554" s="14"/>
      <c r="J554" s="8"/>
      <c r="K554" s="15">
        <f t="shared" ref="K554:L554" si="131">SUBTOTAL(9,K553)</f>
        <v>-154994</v>
      </c>
      <c r="L554" s="15">
        <f t="shared" si="131"/>
        <v>-154994</v>
      </c>
      <c r="M554" s="15"/>
    </row>
    <row r="555" ht="13.5" customHeight="1" outlineLevel="1">
      <c r="A555" s="16" t="s">
        <v>618</v>
      </c>
      <c r="B555" s="7"/>
      <c r="C555" s="7"/>
      <c r="D555" s="7"/>
      <c r="E555" s="7"/>
      <c r="F555" s="7"/>
      <c r="G555" s="7"/>
      <c r="H555" s="14"/>
      <c r="I555" s="14"/>
      <c r="J555" s="8"/>
      <c r="K555" s="15">
        <f t="shared" ref="K555:L555" si="132">SUBTOTAL(9,K553)</f>
        <v>-154994</v>
      </c>
      <c r="L555" s="15">
        <f t="shared" si="132"/>
        <v>-154994</v>
      </c>
      <c r="M555" s="15"/>
    </row>
    <row r="556" ht="13.5" customHeight="1" outlineLevel="3">
      <c r="A556" s="7" t="s">
        <v>619</v>
      </c>
      <c r="B556" s="7" t="s">
        <v>25</v>
      </c>
      <c r="C556" s="7" t="s">
        <v>45</v>
      </c>
      <c r="D556" s="7" t="s">
        <v>27</v>
      </c>
      <c r="E556" s="7" t="s">
        <v>19</v>
      </c>
      <c r="F556" s="7" t="s">
        <v>20</v>
      </c>
      <c r="G556" s="7" t="s">
        <v>620</v>
      </c>
      <c r="H556" s="14">
        <v>46099.0</v>
      </c>
      <c r="I556" s="14">
        <v>46099.0</v>
      </c>
      <c r="J556" s="8">
        <v>-9.0</v>
      </c>
      <c r="K556" s="15">
        <v>-1089329.0</v>
      </c>
      <c r="L556" s="15">
        <v>-1089329.0</v>
      </c>
      <c r="M556" s="15">
        <v>-1089329.0</v>
      </c>
    </row>
    <row r="557" ht="13.5" customHeight="1" outlineLevel="3">
      <c r="A557" s="7" t="s">
        <v>619</v>
      </c>
      <c r="B557" s="7" t="s">
        <v>25</v>
      </c>
      <c r="C557" s="7" t="s">
        <v>45</v>
      </c>
      <c r="D557" s="7" t="s">
        <v>27</v>
      </c>
      <c r="E557" s="7" t="s">
        <v>19</v>
      </c>
      <c r="F557" s="7" t="s">
        <v>20</v>
      </c>
      <c r="G557" s="7" t="s">
        <v>621</v>
      </c>
      <c r="H557" s="14">
        <v>46106.0</v>
      </c>
      <c r="I557" s="14">
        <v>46106.0</v>
      </c>
      <c r="J557" s="8">
        <v>-2.0</v>
      </c>
      <c r="K557" s="15">
        <v>1089327.42</v>
      </c>
      <c r="L557" s="15">
        <v>1089327.42</v>
      </c>
      <c r="M557" s="15">
        <v>-1.58</v>
      </c>
    </row>
    <row r="558" ht="13.5" customHeight="1" outlineLevel="2">
      <c r="A558" s="7"/>
      <c r="B558" s="8"/>
      <c r="C558" s="8"/>
      <c r="D558" s="8"/>
      <c r="E558" s="16" t="s">
        <v>22</v>
      </c>
      <c r="F558" s="16"/>
      <c r="G558" s="16"/>
      <c r="H558" s="16"/>
      <c r="I558" s="16"/>
      <c r="J558" s="16"/>
      <c r="K558" s="15">
        <f t="shared" ref="K558:L558" si="133">SUBTOTAL(9,K556:K557)</f>
        <v>-1.58</v>
      </c>
      <c r="L558" s="15">
        <f t="shared" si="133"/>
        <v>-1.58</v>
      </c>
      <c r="M558" s="15"/>
    </row>
    <row r="559" ht="13.5" customHeight="1" outlineLevel="1">
      <c r="A559" s="16" t="s">
        <v>622</v>
      </c>
      <c r="B559" s="8"/>
      <c r="C559" s="8"/>
      <c r="D559" s="8"/>
      <c r="E559" s="8"/>
      <c r="F559" s="8"/>
      <c r="G559" s="8"/>
      <c r="H559" s="8"/>
      <c r="I559" s="8"/>
      <c r="J559" s="8"/>
      <c r="K559" s="15">
        <f t="shared" ref="K559:L559" si="134">SUBTOTAL(9,K556:K557)</f>
        <v>-1.58</v>
      </c>
      <c r="L559" s="15">
        <f t="shared" si="134"/>
        <v>-1.58</v>
      </c>
      <c r="M559" s="15"/>
    </row>
    <row r="560" ht="13.5" customHeight="1">
      <c r="A560" s="16" t="s">
        <v>623</v>
      </c>
      <c r="B560" s="8"/>
      <c r="C560" s="8"/>
      <c r="D560" s="8"/>
      <c r="E560" s="8"/>
      <c r="F560" s="8"/>
      <c r="G560" s="8"/>
      <c r="H560" s="8"/>
      <c r="I560" s="8"/>
      <c r="J560" s="8"/>
      <c r="K560" s="15">
        <f t="shared" ref="K560:L560" si="135">SUBTOTAL(9,K8:K557)</f>
        <v>3262863166</v>
      </c>
      <c r="L560" s="15">
        <f t="shared" si="135"/>
        <v>1407111464</v>
      </c>
      <c r="M560" s="15"/>
    </row>
    <row r="561" ht="13.5" customHeight="1">
      <c r="A561" s="7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</row>
    <row r="562" ht="13.5" customHeight="1">
      <c r="A562" s="7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</row>
    <row r="563" ht="13.5" customHeight="1">
      <c r="A563" s="7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</row>
    <row r="564" ht="13.5" customHeight="1">
      <c r="A564" s="7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</row>
    <row r="565" ht="13.5" customHeight="1">
      <c r="A565" s="7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</row>
    <row r="566" ht="13.5" customHeight="1">
      <c r="A566" s="7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</row>
    <row r="567" ht="13.5" customHeight="1">
      <c r="A567" s="7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</row>
    <row r="568" ht="13.5" customHeight="1">
      <c r="A568" s="7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</row>
    <row r="569" ht="13.5" customHeight="1">
      <c r="A569" s="7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</row>
    <row r="570" ht="13.5" customHeight="1">
      <c r="A570" s="7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</row>
    <row r="571" ht="13.5" customHeight="1">
      <c r="A571" s="7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</row>
    <row r="572" ht="13.5" customHeight="1">
      <c r="A572" s="7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</row>
    <row r="573" ht="13.5" customHeight="1">
      <c r="A573" s="7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</row>
    <row r="574" ht="13.5" customHeight="1">
      <c r="A574" s="7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</row>
    <row r="575" ht="13.5" customHeight="1">
      <c r="A575" s="7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</row>
    <row r="576" ht="13.5" customHeight="1">
      <c r="A576" s="7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</row>
    <row r="577" ht="13.5" customHeight="1">
      <c r="A577" s="7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</row>
    <row r="578" ht="13.5" customHeight="1">
      <c r="A578" s="7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</row>
    <row r="579" ht="13.5" customHeight="1">
      <c r="A579" s="7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</row>
    <row r="580" ht="13.5" customHeight="1">
      <c r="A580" s="7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</row>
    <row r="581" ht="13.5" customHeight="1">
      <c r="A581" s="7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</row>
    <row r="582" ht="13.5" customHeight="1">
      <c r="A582" s="7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</row>
    <row r="583" ht="13.5" customHeight="1">
      <c r="A583" s="7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</row>
    <row r="584" ht="13.5" customHeight="1">
      <c r="A584" s="7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</row>
    <row r="585" ht="13.5" customHeight="1">
      <c r="A585" s="7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</row>
    <row r="586" ht="13.5" customHeight="1">
      <c r="A586" s="7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</row>
    <row r="587" ht="13.5" customHeight="1">
      <c r="A587" s="7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</row>
    <row r="588" ht="13.5" customHeight="1">
      <c r="A588" s="7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</row>
    <row r="589" ht="13.5" customHeight="1">
      <c r="A589" s="7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</row>
    <row r="590" ht="13.5" customHeight="1">
      <c r="A590" s="7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</row>
    <row r="591" ht="13.5" customHeight="1">
      <c r="A591" s="7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</row>
    <row r="592" ht="13.5" customHeight="1">
      <c r="A592" s="7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</row>
    <row r="593" ht="13.5" customHeight="1">
      <c r="A593" s="7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</row>
    <row r="594" ht="13.5" customHeight="1">
      <c r="A594" s="7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</row>
    <row r="595" ht="13.5" customHeight="1">
      <c r="A595" s="7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</row>
    <row r="596" ht="13.5" customHeight="1">
      <c r="A596" s="7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</row>
    <row r="597" ht="13.5" customHeight="1">
      <c r="A597" s="7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</row>
    <row r="598" ht="13.5" customHeight="1">
      <c r="A598" s="7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</row>
    <row r="599" ht="13.5" customHeight="1">
      <c r="A599" s="7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</row>
    <row r="600" ht="13.5" customHeight="1">
      <c r="A600" s="7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</row>
    <row r="601" ht="13.5" customHeight="1">
      <c r="A601" s="7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</row>
    <row r="602" ht="13.5" customHeight="1">
      <c r="A602" s="7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</row>
    <row r="603" ht="13.5" customHeight="1">
      <c r="A603" s="7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</row>
    <row r="604" ht="13.5" customHeight="1">
      <c r="A604" s="7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</row>
    <row r="605" ht="13.5" customHeight="1">
      <c r="A605" s="7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</row>
    <row r="606" ht="13.5" customHeight="1">
      <c r="A606" s="7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</row>
    <row r="607" ht="13.5" customHeight="1">
      <c r="A607" s="7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</row>
    <row r="608" ht="13.5" customHeight="1">
      <c r="A608" s="7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</row>
    <row r="609" ht="13.5" customHeight="1">
      <c r="A609" s="7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</row>
    <row r="610" ht="13.5" customHeight="1">
      <c r="A610" s="7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</row>
    <row r="611" ht="13.5" customHeight="1">
      <c r="A611" s="7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</row>
    <row r="612" ht="13.5" customHeight="1">
      <c r="A612" s="7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</row>
    <row r="613" ht="13.5" customHeight="1">
      <c r="A613" s="7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</row>
    <row r="614" ht="13.5" customHeight="1">
      <c r="A614" s="7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</row>
    <row r="615" ht="13.5" customHeight="1">
      <c r="A615" s="7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</row>
    <row r="616" ht="13.5" customHeight="1">
      <c r="A616" s="7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</row>
    <row r="617" ht="13.5" customHeight="1">
      <c r="A617" s="7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</row>
    <row r="618" ht="13.5" customHeight="1">
      <c r="A618" s="7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</row>
    <row r="619" ht="13.5" customHeight="1">
      <c r="A619" s="7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</row>
    <row r="620" ht="13.5" customHeight="1">
      <c r="A620" s="7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</row>
    <row r="621" ht="13.5" customHeight="1">
      <c r="A621" s="7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</row>
    <row r="622" ht="13.5" customHeight="1">
      <c r="A622" s="7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</row>
    <row r="623" ht="13.5" customHeight="1">
      <c r="A623" s="7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</row>
    <row r="624" ht="13.5" customHeight="1">
      <c r="A624" s="7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</row>
    <row r="625" ht="13.5" customHeight="1">
      <c r="A625" s="7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</row>
    <row r="626" ht="13.5" customHeight="1">
      <c r="A626" s="7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</row>
    <row r="627" ht="13.5" customHeight="1">
      <c r="A627" s="7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</row>
    <row r="628" ht="13.5" customHeight="1">
      <c r="A628" s="7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</row>
    <row r="629" ht="13.5" customHeight="1">
      <c r="A629" s="7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</row>
    <row r="630" ht="13.5" customHeight="1">
      <c r="A630" s="7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</row>
    <row r="631" ht="13.5" customHeight="1">
      <c r="A631" s="7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</row>
    <row r="632" ht="13.5" customHeight="1">
      <c r="A632" s="7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</row>
    <row r="633" ht="13.5" customHeight="1">
      <c r="A633" s="7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</row>
    <row r="634" ht="13.5" customHeight="1">
      <c r="A634" s="7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</row>
    <row r="635" ht="13.5" customHeight="1">
      <c r="A635" s="7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</row>
    <row r="636" ht="13.5" customHeight="1">
      <c r="A636" s="7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</row>
    <row r="637" ht="13.5" customHeight="1">
      <c r="A637" s="7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</row>
    <row r="638" ht="13.5" customHeight="1">
      <c r="A638" s="7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</row>
    <row r="639" ht="13.5" customHeight="1">
      <c r="A639" s="7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</row>
    <row r="640" ht="13.5" customHeight="1">
      <c r="A640" s="7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</row>
    <row r="641" ht="13.5" customHeight="1">
      <c r="A641" s="7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</row>
    <row r="642" ht="13.5" customHeight="1">
      <c r="A642" s="7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</row>
    <row r="643" ht="13.5" customHeight="1">
      <c r="A643" s="7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</row>
    <row r="644" ht="13.5" customHeight="1">
      <c r="A644" s="7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</row>
    <row r="645" ht="13.5" customHeight="1">
      <c r="A645" s="7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</row>
    <row r="646" ht="13.5" customHeight="1">
      <c r="A646" s="7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</row>
    <row r="647" ht="13.5" customHeight="1">
      <c r="A647" s="7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</row>
    <row r="648" ht="13.5" customHeight="1">
      <c r="A648" s="7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</row>
    <row r="649" ht="13.5" customHeight="1">
      <c r="A649" s="7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</row>
    <row r="650" ht="13.5" customHeight="1">
      <c r="A650" s="7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</row>
    <row r="651" ht="13.5" customHeight="1">
      <c r="A651" s="7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</row>
    <row r="652" ht="13.5" customHeight="1">
      <c r="A652" s="7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</row>
    <row r="653" ht="13.5" customHeight="1">
      <c r="A653" s="7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</row>
    <row r="654" ht="13.5" customHeight="1">
      <c r="A654" s="7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</row>
    <row r="655" ht="13.5" customHeight="1">
      <c r="A655" s="7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</row>
    <row r="656" ht="13.5" customHeight="1">
      <c r="A656" s="7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</row>
    <row r="657" ht="13.5" customHeight="1">
      <c r="A657" s="7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</row>
    <row r="658" ht="13.5" customHeight="1">
      <c r="A658" s="7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</row>
    <row r="659" ht="13.5" customHeight="1">
      <c r="A659" s="7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</row>
    <row r="660" ht="13.5" customHeight="1">
      <c r="A660" s="7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</row>
    <row r="661" ht="13.5" customHeight="1">
      <c r="A661" s="7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</row>
    <row r="662" ht="13.5" customHeight="1">
      <c r="A662" s="7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</row>
    <row r="663" ht="13.5" customHeight="1">
      <c r="A663" s="7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</row>
    <row r="664" ht="13.5" customHeight="1">
      <c r="A664" s="7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</row>
    <row r="665" ht="13.5" customHeight="1">
      <c r="A665" s="7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</row>
    <row r="666" ht="13.5" customHeight="1">
      <c r="A666" s="7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</row>
    <row r="667" ht="13.5" customHeight="1">
      <c r="A667" s="7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</row>
    <row r="668" ht="13.5" customHeight="1">
      <c r="A668" s="7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</row>
    <row r="669" ht="13.5" customHeight="1">
      <c r="A669" s="7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</row>
    <row r="670" ht="13.5" customHeight="1">
      <c r="A670" s="7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</row>
    <row r="671" ht="13.5" customHeight="1">
      <c r="A671" s="7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</row>
    <row r="672" ht="13.5" customHeight="1">
      <c r="A672" s="7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</row>
    <row r="673" ht="13.5" customHeight="1">
      <c r="A673" s="7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</row>
    <row r="674" ht="13.5" customHeight="1">
      <c r="A674" s="7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</row>
    <row r="675" ht="13.5" customHeight="1">
      <c r="A675" s="7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</row>
    <row r="676" ht="13.5" customHeight="1">
      <c r="A676" s="7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</row>
    <row r="677" ht="13.5" customHeight="1">
      <c r="A677" s="7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</row>
    <row r="678" ht="13.5" customHeight="1">
      <c r="A678" s="7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</row>
    <row r="679" ht="13.5" customHeight="1">
      <c r="A679" s="7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</row>
    <row r="680" ht="13.5" customHeight="1">
      <c r="A680" s="7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</row>
    <row r="681" ht="13.5" customHeight="1">
      <c r="A681" s="7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</row>
    <row r="682" ht="13.5" customHeight="1">
      <c r="A682" s="7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</row>
    <row r="683" ht="13.5" customHeight="1">
      <c r="A683" s="7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</row>
    <row r="684" ht="13.5" customHeight="1">
      <c r="A684" s="7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</row>
    <row r="685" ht="13.5" customHeight="1">
      <c r="A685" s="7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</row>
    <row r="686" ht="13.5" customHeight="1">
      <c r="A686" s="7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</row>
    <row r="687" ht="13.5" customHeight="1">
      <c r="A687" s="7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</row>
    <row r="688" ht="13.5" customHeight="1">
      <c r="A688" s="7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</row>
    <row r="689" ht="13.5" customHeight="1">
      <c r="A689" s="7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</row>
    <row r="690" ht="13.5" customHeight="1">
      <c r="A690" s="7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</row>
    <row r="691" ht="13.5" customHeight="1">
      <c r="A691" s="7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</row>
    <row r="692" ht="13.5" customHeight="1">
      <c r="A692" s="7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</row>
    <row r="693" ht="13.5" customHeight="1">
      <c r="A693" s="7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</row>
    <row r="694" ht="13.5" customHeight="1">
      <c r="A694" s="7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</row>
    <row r="695" ht="13.5" customHeight="1">
      <c r="A695" s="7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</row>
    <row r="696" ht="13.5" customHeight="1">
      <c r="A696" s="7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</row>
    <row r="697" ht="13.5" customHeight="1">
      <c r="A697" s="7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</row>
    <row r="698" ht="13.5" customHeight="1">
      <c r="A698" s="7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</row>
    <row r="699" ht="13.5" customHeight="1">
      <c r="A699" s="7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</row>
    <row r="700" ht="13.5" customHeight="1">
      <c r="A700" s="7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</row>
    <row r="701" ht="13.5" customHeight="1">
      <c r="A701" s="7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</row>
    <row r="702" ht="13.5" customHeight="1">
      <c r="A702" s="7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</row>
    <row r="703" ht="13.5" customHeight="1">
      <c r="A703" s="7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</row>
    <row r="704" ht="13.5" customHeight="1">
      <c r="A704" s="7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</row>
    <row r="705" ht="13.5" customHeight="1">
      <c r="A705" s="7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</row>
    <row r="706" ht="13.5" customHeight="1">
      <c r="A706" s="7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</row>
    <row r="707" ht="13.5" customHeight="1">
      <c r="A707" s="7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</row>
    <row r="708" ht="13.5" customHeight="1">
      <c r="A708" s="7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</row>
    <row r="709" ht="13.5" customHeight="1">
      <c r="A709" s="7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</row>
    <row r="710" ht="13.5" customHeight="1">
      <c r="A710" s="7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</row>
    <row r="711" ht="13.5" customHeight="1">
      <c r="A711" s="7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</row>
    <row r="712" ht="13.5" customHeight="1">
      <c r="A712" s="7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</row>
    <row r="713" ht="13.5" customHeight="1">
      <c r="A713" s="7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</row>
    <row r="714" ht="13.5" customHeight="1">
      <c r="A714" s="7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</row>
    <row r="715" ht="13.5" customHeight="1">
      <c r="A715" s="7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</row>
    <row r="716" ht="13.5" customHeight="1">
      <c r="A716" s="7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</row>
    <row r="717" ht="13.5" customHeight="1">
      <c r="A717" s="7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</row>
    <row r="718" ht="13.5" customHeight="1">
      <c r="A718" s="7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</row>
    <row r="719" ht="13.5" customHeight="1">
      <c r="A719" s="7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</row>
    <row r="720" ht="13.5" customHeight="1">
      <c r="A720" s="7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</row>
    <row r="721" ht="13.5" customHeight="1">
      <c r="A721" s="7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</row>
    <row r="722" ht="13.5" customHeight="1">
      <c r="A722" s="7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</row>
    <row r="723" ht="13.5" customHeight="1">
      <c r="A723" s="7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</row>
    <row r="724" ht="13.5" customHeight="1">
      <c r="A724" s="7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</row>
    <row r="725" ht="13.5" customHeight="1">
      <c r="A725" s="7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</row>
    <row r="726" ht="13.5" customHeight="1">
      <c r="A726" s="7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</row>
    <row r="727" ht="13.5" customHeight="1">
      <c r="A727" s="7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</row>
    <row r="728" ht="13.5" customHeight="1">
      <c r="A728" s="7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</row>
    <row r="729" ht="13.5" customHeight="1">
      <c r="A729" s="7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</row>
    <row r="730" ht="13.5" customHeight="1">
      <c r="A730" s="7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</row>
    <row r="731" ht="13.5" customHeight="1">
      <c r="A731" s="7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</row>
    <row r="732" ht="13.5" customHeight="1">
      <c r="A732" s="7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</row>
    <row r="733" ht="13.5" customHeight="1">
      <c r="A733" s="7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</row>
    <row r="734" ht="13.5" customHeight="1">
      <c r="A734" s="7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</row>
    <row r="735" ht="13.5" customHeight="1">
      <c r="A735" s="7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</row>
    <row r="736" ht="13.5" customHeight="1">
      <c r="A736" s="7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</row>
    <row r="737" ht="13.5" customHeight="1">
      <c r="A737" s="7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</row>
    <row r="738" ht="13.5" customHeight="1">
      <c r="A738" s="7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</row>
    <row r="739" ht="13.5" customHeight="1">
      <c r="A739" s="7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</row>
    <row r="740" ht="13.5" customHeight="1">
      <c r="A740" s="7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</row>
    <row r="741" ht="13.5" customHeight="1">
      <c r="A741" s="7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</row>
    <row r="742" ht="13.5" customHeight="1">
      <c r="A742" s="7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</row>
    <row r="743" ht="13.5" customHeight="1">
      <c r="A743" s="7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</row>
    <row r="744" ht="13.5" customHeight="1">
      <c r="A744" s="7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</row>
    <row r="745" ht="13.5" customHeight="1">
      <c r="A745" s="7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</row>
    <row r="746" ht="13.5" customHeight="1">
      <c r="A746" s="7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</row>
    <row r="747" ht="13.5" customHeight="1">
      <c r="A747" s="7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</row>
    <row r="748" ht="13.5" customHeight="1">
      <c r="A748" s="7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</row>
    <row r="749" ht="13.5" customHeight="1">
      <c r="A749" s="7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</row>
    <row r="750" ht="13.5" customHeight="1">
      <c r="A750" s="7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</row>
    <row r="751" ht="13.5" customHeight="1">
      <c r="A751" s="7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</row>
    <row r="752" ht="13.5" customHeight="1">
      <c r="A752" s="7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</row>
    <row r="753" ht="13.5" customHeight="1">
      <c r="A753" s="7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</row>
    <row r="754" ht="13.5" customHeight="1">
      <c r="A754" s="7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</row>
    <row r="755" ht="13.5" customHeight="1">
      <c r="A755" s="7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</row>
    <row r="756" ht="13.5" customHeight="1">
      <c r="A756" s="7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</row>
    <row r="757" ht="13.5" customHeight="1">
      <c r="A757" s="7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</row>
    <row r="758" ht="13.5" customHeight="1">
      <c r="A758" s="7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</row>
    <row r="759" ht="13.5" customHeight="1">
      <c r="A759" s="7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</row>
    <row r="760" ht="13.5" customHeight="1">
      <c r="A760" s="7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</row>
    <row r="761" ht="13.5" customHeight="1">
      <c r="A761" s="7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</row>
    <row r="762" ht="13.5" customHeight="1">
      <c r="A762" s="7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</row>
    <row r="763" ht="13.5" customHeight="1">
      <c r="A763" s="7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</row>
    <row r="764" ht="13.5" customHeight="1">
      <c r="A764" s="7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</row>
    <row r="765" ht="13.5" customHeight="1">
      <c r="A765" s="7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</row>
    <row r="766" ht="13.5" customHeight="1">
      <c r="A766" s="7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</row>
    <row r="767" ht="13.5" customHeight="1">
      <c r="A767" s="7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</row>
    <row r="768" ht="13.5" customHeight="1">
      <c r="A768" s="7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</row>
    <row r="769" ht="13.5" customHeight="1">
      <c r="A769" s="7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</row>
    <row r="770" ht="13.5" customHeight="1">
      <c r="A770" s="7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</row>
    <row r="771" ht="13.5" customHeight="1">
      <c r="A771" s="7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</row>
    <row r="772" ht="13.5" customHeight="1">
      <c r="A772" s="7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</row>
    <row r="773" ht="13.5" customHeight="1">
      <c r="A773" s="7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</row>
    <row r="774" ht="13.5" customHeight="1">
      <c r="A774" s="7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</row>
    <row r="775" ht="13.5" customHeight="1">
      <c r="A775" s="7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</row>
    <row r="776" ht="13.5" customHeight="1">
      <c r="A776" s="7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</row>
    <row r="777" ht="13.5" customHeight="1">
      <c r="A777" s="7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</row>
    <row r="778" ht="13.5" customHeight="1">
      <c r="A778" s="7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</row>
    <row r="779" ht="13.5" customHeight="1">
      <c r="A779" s="7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</row>
    <row r="780" ht="13.5" customHeight="1">
      <c r="A780" s="7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</row>
    <row r="781" ht="13.5" customHeight="1">
      <c r="A781" s="7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</row>
    <row r="782" ht="13.5" customHeight="1">
      <c r="A782" s="7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</row>
    <row r="783" ht="13.5" customHeight="1">
      <c r="A783" s="7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</row>
    <row r="784" ht="13.5" customHeight="1">
      <c r="A784" s="7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</row>
    <row r="785" ht="13.5" customHeight="1">
      <c r="A785" s="7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</row>
    <row r="786" ht="13.5" customHeight="1">
      <c r="A786" s="7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</row>
    <row r="787" ht="13.5" customHeight="1">
      <c r="A787" s="7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</row>
    <row r="788" ht="13.5" customHeight="1">
      <c r="A788" s="7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</row>
    <row r="789" ht="13.5" customHeight="1">
      <c r="A789" s="7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</row>
    <row r="790" ht="13.5" customHeight="1">
      <c r="A790" s="7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</row>
    <row r="791" ht="13.5" customHeight="1">
      <c r="A791" s="7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</row>
    <row r="792" ht="13.5" customHeight="1">
      <c r="A792" s="7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</row>
    <row r="793" ht="13.5" customHeight="1">
      <c r="A793" s="7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</row>
    <row r="794" ht="13.5" customHeight="1">
      <c r="A794" s="7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</row>
    <row r="795" ht="13.5" customHeight="1">
      <c r="A795" s="7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</row>
    <row r="796" ht="13.5" customHeight="1">
      <c r="A796" s="7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</row>
    <row r="797" ht="13.5" customHeight="1">
      <c r="A797" s="7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</row>
    <row r="798" ht="13.5" customHeight="1">
      <c r="A798" s="7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</row>
    <row r="799" ht="13.5" customHeight="1">
      <c r="A799" s="7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</row>
    <row r="800" ht="13.5" customHeight="1">
      <c r="A800" s="7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</row>
    <row r="801" ht="13.5" customHeight="1">
      <c r="A801" s="7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</row>
    <row r="802" ht="13.5" customHeight="1">
      <c r="A802" s="7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</row>
    <row r="803" ht="13.5" customHeight="1">
      <c r="A803" s="7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</row>
    <row r="804" ht="13.5" customHeight="1">
      <c r="A804" s="7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</row>
    <row r="805" ht="13.5" customHeight="1">
      <c r="A805" s="7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</row>
    <row r="806" ht="13.5" customHeight="1">
      <c r="A806" s="7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</row>
    <row r="807" ht="13.5" customHeight="1">
      <c r="A807" s="7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</row>
    <row r="808" ht="13.5" customHeight="1">
      <c r="A808" s="7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</row>
    <row r="809" ht="13.5" customHeight="1">
      <c r="A809" s="7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</row>
    <row r="810" ht="13.5" customHeight="1">
      <c r="A810" s="7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</row>
    <row r="811" ht="13.5" customHeight="1">
      <c r="A811" s="7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</row>
    <row r="812" ht="13.5" customHeight="1">
      <c r="A812" s="7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</row>
    <row r="813" ht="13.5" customHeight="1">
      <c r="A813" s="7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</row>
    <row r="814" ht="13.5" customHeight="1">
      <c r="A814" s="7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</row>
    <row r="815" ht="13.5" customHeight="1">
      <c r="A815" s="7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</row>
    <row r="816" ht="13.5" customHeight="1">
      <c r="A816" s="7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</row>
    <row r="817" ht="13.5" customHeight="1">
      <c r="A817" s="7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</row>
    <row r="818" ht="13.5" customHeight="1">
      <c r="A818" s="7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</row>
    <row r="819" ht="13.5" customHeight="1">
      <c r="A819" s="7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</row>
    <row r="820" ht="13.5" customHeight="1">
      <c r="A820" s="7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</row>
    <row r="821" ht="13.5" customHeight="1">
      <c r="A821" s="7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</row>
    <row r="822" ht="13.5" customHeight="1">
      <c r="A822" s="7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</row>
    <row r="823" ht="13.5" customHeight="1">
      <c r="A823" s="7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</row>
    <row r="824" ht="13.5" customHeight="1">
      <c r="A824" s="7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</row>
    <row r="825" ht="13.5" customHeight="1">
      <c r="A825" s="7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</row>
    <row r="826" ht="13.5" customHeight="1">
      <c r="A826" s="7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</row>
    <row r="827" ht="13.5" customHeight="1">
      <c r="A827" s="7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</row>
    <row r="828" ht="13.5" customHeight="1">
      <c r="A828" s="7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</row>
    <row r="829" ht="13.5" customHeight="1">
      <c r="A829" s="7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</row>
    <row r="830" ht="13.5" customHeight="1">
      <c r="A830" s="7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</row>
    <row r="831" ht="13.5" customHeight="1">
      <c r="A831" s="7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</row>
    <row r="832" ht="13.5" customHeight="1">
      <c r="A832" s="7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</row>
    <row r="833" ht="13.5" customHeight="1">
      <c r="A833" s="7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</row>
    <row r="834" ht="13.5" customHeight="1">
      <c r="A834" s="7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</row>
    <row r="835" ht="13.5" customHeight="1">
      <c r="A835" s="7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</row>
    <row r="836" ht="13.5" customHeight="1">
      <c r="A836" s="7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</row>
    <row r="837" ht="13.5" customHeight="1">
      <c r="A837" s="7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</row>
    <row r="838" ht="13.5" customHeight="1">
      <c r="A838" s="7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</row>
    <row r="839" ht="13.5" customHeight="1">
      <c r="A839" s="7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</row>
    <row r="840" ht="13.5" customHeight="1">
      <c r="A840" s="7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</row>
    <row r="841" ht="13.5" customHeight="1">
      <c r="A841" s="7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</row>
    <row r="842" ht="13.5" customHeight="1">
      <c r="A842" s="7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</row>
    <row r="843" ht="13.5" customHeight="1">
      <c r="A843" s="7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</row>
    <row r="844" ht="13.5" customHeight="1">
      <c r="A844" s="7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</row>
    <row r="845" ht="13.5" customHeight="1">
      <c r="A845" s="7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</row>
    <row r="846" ht="13.5" customHeight="1">
      <c r="A846" s="7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</row>
    <row r="847" ht="13.5" customHeight="1">
      <c r="A847" s="7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</row>
    <row r="848" ht="13.5" customHeight="1">
      <c r="A848" s="7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</row>
    <row r="849" ht="13.5" customHeight="1">
      <c r="A849" s="7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</row>
    <row r="850" ht="13.5" customHeight="1">
      <c r="A850" s="7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</row>
    <row r="851" ht="13.5" customHeight="1">
      <c r="A851" s="7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</row>
    <row r="852" ht="13.5" customHeight="1">
      <c r="A852" s="7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</row>
    <row r="853" ht="13.5" customHeight="1">
      <c r="A853" s="7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</row>
    <row r="854" ht="13.5" customHeight="1">
      <c r="A854" s="7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</row>
    <row r="855" ht="13.5" customHeight="1">
      <c r="A855" s="7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</row>
    <row r="856" ht="13.5" customHeight="1">
      <c r="A856" s="7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</row>
    <row r="857" ht="13.5" customHeight="1">
      <c r="A857" s="7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</row>
    <row r="858" ht="13.5" customHeight="1">
      <c r="A858" s="7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</row>
    <row r="859" ht="13.5" customHeight="1">
      <c r="A859" s="7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</row>
    <row r="860" ht="13.5" customHeight="1">
      <c r="A860" s="7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</row>
    <row r="861" ht="13.5" customHeight="1">
      <c r="A861" s="7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</row>
    <row r="862" ht="13.5" customHeight="1">
      <c r="A862" s="7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</row>
    <row r="863" ht="13.5" customHeight="1">
      <c r="A863" s="7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</row>
    <row r="864" ht="13.5" customHeight="1">
      <c r="A864" s="7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</row>
    <row r="865" ht="13.5" customHeight="1">
      <c r="A865" s="7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</row>
    <row r="866" ht="13.5" customHeight="1">
      <c r="A866" s="7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</row>
    <row r="867" ht="13.5" customHeight="1">
      <c r="A867" s="7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</row>
    <row r="868" ht="13.5" customHeight="1">
      <c r="A868" s="7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</row>
    <row r="869" ht="13.5" customHeight="1">
      <c r="A869" s="7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</row>
    <row r="870" ht="13.5" customHeight="1">
      <c r="A870" s="7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</row>
    <row r="871" ht="13.5" customHeight="1">
      <c r="A871" s="7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</row>
    <row r="872" ht="13.5" customHeight="1">
      <c r="A872" s="7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</row>
    <row r="873" ht="13.5" customHeight="1">
      <c r="A873" s="7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</row>
    <row r="874" ht="13.5" customHeight="1">
      <c r="A874" s="7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</row>
    <row r="875" ht="13.5" customHeight="1">
      <c r="A875" s="7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</row>
    <row r="876" ht="13.5" customHeight="1">
      <c r="A876" s="7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</row>
    <row r="877" ht="13.5" customHeight="1">
      <c r="A877" s="7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</row>
    <row r="878" ht="13.5" customHeight="1">
      <c r="A878" s="7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</row>
    <row r="879" ht="13.5" customHeight="1">
      <c r="A879" s="7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</row>
    <row r="880" ht="13.5" customHeight="1">
      <c r="A880" s="7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</row>
    <row r="881" ht="13.5" customHeight="1">
      <c r="A881" s="7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</row>
    <row r="882" ht="13.5" customHeight="1">
      <c r="A882" s="7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</row>
    <row r="883" ht="13.5" customHeight="1">
      <c r="A883" s="7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</row>
    <row r="884" ht="13.5" customHeight="1">
      <c r="A884" s="7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</row>
    <row r="885" ht="13.5" customHeight="1">
      <c r="A885" s="7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</row>
    <row r="886" ht="13.5" customHeight="1">
      <c r="A886" s="7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</row>
    <row r="887" ht="13.5" customHeight="1">
      <c r="A887" s="7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</row>
    <row r="888" ht="13.5" customHeight="1">
      <c r="A888" s="7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</row>
    <row r="889" ht="13.5" customHeight="1">
      <c r="A889" s="7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</row>
    <row r="890" ht="13.5" customHeight="1">
      <c r="A890" s="7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</row>
    <row r="891" ht="13.5" customHeight="1">
      <c r="A891" s="7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</row>
    <row r="892" ht="13.5" customHeight="1">
      <c r="A892" s="7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</row>
    <row r="893" ht="13.5" customHeight="1">
      <c r="A893" s="7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</row>
    <row r="894" ht="13.5" customHeight="1">
      <c r="A894" s="7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</row>
    <row r="895" ht="13.5" customHeight="1">
      <c r="A895" s="7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</row>
    <row r="896" ht="13.5" customHeight="1">
      <c r="A896" s="7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</row>
    <row r="897" ht="13.5" customHeight="1">
      <c r="A897" s="7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</row>
    <row r="898" ht="13.5" customHeight="1">
      <c r="A898" s="7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</row>
    <row r="899" ht="13.5" customHeight="1">
      <c r="A899" s="7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</row>
    <row r="900" ht="13.5" customHeight="1">
      <c r="A900" s="7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</row>
    <row r="901" ht="13.5" customHeight="1">
      <c r="A901" s="7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</row>
    <row r="902" ht="13.5" customHeight="1">
      <c r="A902" s="7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</row>
    <row r="903" ht="13.5" customHeight="1">
      <c r="A903" s="7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</row>
    <row r="904" ht="13.5" customHeight="1">
      <c r="A904" s="7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</row>
    <row r="905" ht="13.5" customHeight="1">
      <c r="A905" s="7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</row>
    <row r="906" ht="13.5" customHeight="1">
      <c r="A906" s="7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</row>
    <row r="907" ht="13.5" customHeight="1">
      <c r="A907" s="7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</row>
    <row r="908" ht="13.5" customHeight="1">
      <c r="A908" s="7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</row>
    <row r="909" ht="13.5" customHeight="1">
      <c r="A909" s="7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</row>
    <row r="910" ht="13.5" customHeight="1">
      <c r="A910" s="7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</row>
    <row r="911" ht="13.5" customHeight="1">
      <c r="A911" s="7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</row>
    <row r="912" ht="13.5" customHeight="1">
      <c r="A912" s="7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</row>
    <row r="913" ht="13.5" customHeight="1">
      <c r="A913" s="7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</row>
    <row r="914" ht="13.5" customHeight="1">
      <c r="A914" s="7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</row>
    <row r="915" ht="13.5" customHeight="1">
      <c r="A915" s="7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</row>
    <row r="916" ht="13.5" customHeight="1">
      <c r="A916" s="7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</row>
    <row r="917" ht="13.5" customHeight="1">
      <c r="A917" s="7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</row>
    <row r="918" ht="13.5" customHeight="1">
      <c r="A918" s="7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</row>
    <row r="919" ht="13.5" customHeight="1">
      <c r="A919" s="7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</row>
    <row r="920" ht="13.5" customHeight="1">
      <c r="A920" s="7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</row>
    <row r="921" ht="13.5" customHeight="1">
      <c r="A921" s="7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</row>
    <row r="922" ht="13.5" customHeight="1">
      <c r="A922" s="7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</row>
    <row r="923" ht="13.5" customHeight="1">
      <c r="A923" s="7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</row>
    <row r="924" ht="13.5" customHeight="1">
      <c r="A924" s="7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</row>
    <row r="925" ht="13.5" customHeight="1">
      <c r="A925" s="7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</row>
    <row r="926" ht="13.5" customHeight="1">
      <c r="A926" s="7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</row>
    <row r="927" ht="13.5" customHeight="1">
      <c r="A927" s="7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</row>
    <row r="928" ht="13.5" customHeight="1">
      <c r="A928" s="7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</row>
    <row r="929" ht="13.5" customHeight="1">
      <c r="A929" s="7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</row>
    <row r="930" ht="13.5" customHeight="1">
      <c r="A930" s="7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</row>
    <row r="931" ht="13.5" customHeight="1">
      <c r="A931" s="7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</row>
    <row r="932" ht="13.5" customHeight="1">
      <c r="A932" s="7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</row>
    <row r="933" ht="13.5" customHeight="1">
      <c r="A933" s="7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</row>
    <row r="934" ht="13.5" customHeight="1">
      <c r="A934" s="7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</row>
    <row r="935" ht="13.5" customHeight="1">
      <c r="A935" s="7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</row>
    <row r="936" ht="13.5" customHeight="1">
      <c r="A936" s="7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</row>
    <row r="937" ht="13.5" customHeight="1">
      <c r="A937" s="7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</row>
    <row r="938" ht="13.5" customHeight="1">
      <c r="A938" s="7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</row>
    <row r="939" ht="13.5" customHeight="1">
      <c r="A939" s="7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</row>
    <row r="940" ht="13.5" customHeight="1">
      <c r="A940" s="7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</row>
    <row r="941" ht="13.5" customHeight="1">
      <c r="A941" s="7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</row>
    <row r="942" ht="13.5" customHeight="1">
      <c r="A942" s="7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</row>
    <row r="943" ht="13.5" customHeight="1">
      <c r="A943" s="7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</row>
    <row r="944" ht="13.5" customHeight="1">
      <c r="A944" s="7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</row>
    <row r="945" ht="13.5" customHeight="1">
      <c r="A945" s="7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</row>
    <row r="946" ht="13.5" customHeight="1">
      <c r="A946" s="7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</row>
    <row r="947" ht="13.5" customHeight="1">
      <c r="A947" s="7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</row>
    <row r="948" ht="13.5" customHeight="1">
      <c r="A948" s="7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</row>
    <row r="949" ht="13.5" customHeight="1">
      <c r="A949" s="7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</row>
    <row r="950" ht="13.5" customHeight="1">
      <c r="A950" s="7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</row>
    <row r="951" ht="13.5" customHeight="1">
      <c r="A951" s="7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</row>
    <row r="952" ht="13.5" customHeight="1">
      <c r="A952" s="7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</row>
    <row r="953" ht="13.5" customHeight="1">
      <c r="A953" s="7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</row>
    <row r="954" ht="13.5" customHeight="1">
      <c r="A954" s="7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</row>
    <row r="955" ht="13.5" customHeight="1">
      <c r="A955" s="7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</row>
    <row r="956" ht="13.5" customHeight="1">
      <c r="A956" s="7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</row>
    <row r="957" ht="13.5" customHeight="1">
      <c r="A957" s="7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</row>
    <row r="958" ht="13.5" customHeight="1">
      <c r="A958" s="7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</row>
    <row r="959" ht="13.5" customHeight="1">
      <c r="A959" s="7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</row>
    <row r="960" ht="13.5" customHeight="1">
      <c r="A960" s="7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</row>
    <row r="961" ht="13.5" customHeight="1">
      <c r="A961" s="7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</row>
    <row r="962" ht="13.5" customHeight="1">
      <c r="A962" s="7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</row>
    <row r="963" ht="13.5" customHeight="1">
      <c r="A963" s="7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</row>
    <row r="964" ht="13.5" customHeight="1">
      <c r="A964" s="7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</row>
    <row r="965" ht="13.5" customHeight="1">
      <c r="A965" s="7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</row>
    <row r="966" ht="13.5" customHeight="1">
      <c r="A966" s="7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</row>
    <row r="967" ht="13.5" customHeight="1">
      <c r="A967" s="7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</row>
    <row r="968" ht="13.5" customHeight="1">
      <c r="A968" s="7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</row>
    <row r="969" ht="13.5" customHeight="1">
      <c r="A969" s="7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</row>
    <row r="970" ht="13.5" customHeight="1">
      <c r="A970" s="7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</row>
    <row r="971" ht="13.5" customHeight="1">
      <c r="A971" s="7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</row>
    <row r="972" ht="13.5" customHeight="1">
      <c r="A972" s="7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</row>
    <row r="973" ht="13.5" customHeight="1">
      <c r="A973" s="7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</row>
    <row r="974" ht="13.5" customHeight="1">
      <c r="A974" s="7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</row>
    <row r="975" ht="13.5" customHeight="1">
      <c r="A975" s="7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</row>
    <row r="976" ht="13.5" customHeight="1">
      <c r="A976" s="7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</row>
    <row r="977" ht="13.5" customHeight="1">
      <c r="A977" s="7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</row>
    <row r="978" ht="13.5" customHeight="1">
      <c r="A978" s="7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</row>
    <row r="979" ht="13.5" customHeight="1">
      <c r="A979" s="7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</row>
    <row r="980" ht="13.5" customHeight="1">
      <c r="A980" s="7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</row>
    <row r="981" ht="13.5" customHeight="1">
      <c r="A981" s="7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</row>
    <row r="982" ht="13.5" customHeight="1">
      <c r="A982" s="7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</row>
    <row r="983" ht="13.5" customHeight="1">
      <c r="A983" s="7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</row>
    <row r="984" ht="13.5" customHeight="1">
      <c r="A984" s="7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</row>
    <row r="985" ht="13.5" customHeight="1">
      <c r="A985" s="7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</row>
    <row r="986" ht="13.5" customHeight="1">
      <c r="A986" s="7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</row>
    <row r="987" ht="13.5" customHeight="1">
      <c r="A987" s="7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</row>
    <row r="988" ht="13.5" customHeight="1">
      <c r="A988" s="7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</row>
    <row r="989" ht="13.5" customHeight="1">
      <c r="A989" s="7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</row>
    <row r="990" ht="13.5" customHeight="1">
      <c r="A990" s="7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</row>
    <row r="991" ht="13.5" customHeight="1">
      <c r="A991" s="7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</row>
    <row r="992" ht="13.5" customHeight="1">
      <c r="A992" s="7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</row>
    <row r="993" ht="13.5" customHeight="1">
      <c r="A993" s="7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</row>
    <row r="994" ht="13.5" customHeight="1">
      <c r="A994" s="7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</row>
    <row r="995" ht="13.5" customHeight="1">
      <c r="A995" s="7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</row>
    <row r="996" ht="13.5" customHeight="1">
      <c r="A996" s="7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</row>
    <row r="997" ht="13.5" customHeight="1">
      <c r="A997" s="7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</row>
    <row r="998" ht="13.5" customHeight="1">
      <c r="A998" s="7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</row>
    <row r="999" ht="13.5" customHeight="1">
      <c r="A999" s="7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</row>
    <row r="1000" ht="13.5" customHeight="1">
      <c r="A1000" s="7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</row>
  </sheetData>
  <mergeCells count="3">
    <mergeCell ref="A1:M1"/>
    <mergeCell ref="A2:M2"/>
    <mergeCell ref="A5:M5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2026-03-28T16:47:23Z</dcterms:created>
  <dc:creator>Finearom finearom</dc:creator>
</cp:coreProperties>
</file>