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8800" windowHeight="1456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W237" i="1" l="1"/>
  <c r="V237" i="1"/>
  <c r="T237" i="1"/>
  <c r="W233" i="1"/>
  <c r="V233" i="1"/>
  <c r="T233" i="1"/>
  <c r="W228" i="1"/>
  <c r="V228" i="1"/>
  <c r="T228" i="1"/>
  <c r="W221" i="1"/>
  <c r="V221" i="1"/>
  <c r="T221" i="1"/>
  <c r="W218" i="1"/>
  <c r="V218" i="1"/>
  <c r="T218" i="1"/>
  <c r="W212" i="1"/>
  <c r="V212" i="1"/>
  <c r="T212" i="1"/>
  <c r="W207" i="1"/>
  <c r="V207" i="1"/>
  <c r="T207" i="1"/>
  <c r="W200" i="1"/>
  <c r="V200" i="1"/>
  <c r="T200" i="1"/>
  <c r="W181" i="1"/>
  <c r="V181" i="1"/>
  <c r="T181" i="1"/>
  <c r="W158" i="1"/>
  <c r="V158" i="1"/>
  <c r="T158" i="1"/>
  <c r="W155" i="1"/>
  <c r="V155" i="1"/>
  <c r="T155" i="1"/>
  <c r="W151" i="1"/>
  <c r="V151" i="1"/>
  <c r="T151" i="1"/>
  <c r="W143" i="1"/>
  <c r="V143" i="1"/>
  <c r="T143" i="1"/>
  <c r="W140" i="1"/>
  <c r="V140" i="1"/>
  <c r="T140" i="1"/>
  <c r="W137" i="1"/>
  <c r="V137" i="1"/>
  <c r="T137" i="1"/>
  <c r="W117" i="1"/>
  <c r="V117" i="1"/>
  <c r="T117" i="1"/>
  <c r="W110" i="1"/>
  <c r="V110" i="1"/>
  <c r="T110" i="1"/>
  <c r="W106" i="1"/>
  <c r="V106" i="1"/>
  <c r="T106" i="1"/>
  <c r="W83" i="1"/>
  <c r="V83" i="1"/>
  <c r="T83" i="1"/>
  <c r="W70" i="1"/>
  <c r="V70" i="1"/>
  <c r="T70" i="1"/>
  <c r="W30" i="1"/>
  <c r="V30" i="1"/>
  <c r="T30" i="1"/>
  <c r="W24" i="1"/>
  <c r="V24" i="1"/>
  <c r="T24" i="1"/>
  <c r="W15" i="1"/>
  <c r="V15" i="1"/>
  <c r="T15" i="1"/>
  <c r="W11" i="1"/>
  <c r="V11" i="1"/>
  <c r="T11" i="1"/>
  <c r="W239" i="1"/>
  <c r="W238" i="1"/>
  <c r="V238" i="1"/>
  <c r="T238" i="1"/>
  <c r="W234" i="1"/>
  <c r="V234" i="1"/>
  <c r="T234" i="1"/>
  <c r="W229" i="1"/>
  <c r="V229" i="1"/>
  <c r="T229" i="1"/>
  <c r="W222" i="1"/>
  <c r="V222" i="1"/>
  <c r="T222" i="1"/>
  <c r="W219" i="1"/>
  <c r="V219" i="1"/>
  <c r="T219" i="1"/>
  <c r="W213" i="1"/>
  <c r="V213" i="1"/>
  <c r="T213" i="1"/>
  <c r="W208" i="1"/>
  <c r="V208" i="1"/>
  <c r="T208" i="1"/>
  <c r="W201" i="1"/>
  <c r="V201" i="1"/>
  <c r="T201" i="1"/>
  <c r="W182" i="1"/>
  <c r="V182" i="1"/>
  <c r="T182" i="1"/>
  <c r="W159" i="1"/>
  <c r="V159" i="1"/>
  <c r="T159" i="1"/>
  <c r="W156" i="1"/>
  <c r="V156" i="1"/>
  <c r="T156" i="1"/>
  <c r="W152" i="1"/>
  <c r="V152" i="1"/>
  <c r="T152" i="1"/>
  <c r="W144" i="1"/>
  <c r="V144" i="1"/>
  <c r="T144" i="1"/>
  <c r="W141" i="1"/>
  <c r="V141" i="1"/>
  <c r="T141" i="1"/>
  <c r="W138" i="1"/>
  <c r="V138" i="1"/>
  <c r="T138" i="1"/>
  <c r="W118" i="1"/>
  <c r="V118" i="1"/>
  <c r="T118" i="1"/>
  <c r="W111" i="1"/>
  <c r="V111" i="1"/>
  <c r="T111" i="1"/>
  <c r="W107" i="1"/>
  <c r="V107" i="1"/>
  <c r="T107" i="1"/>
  <c r="W84" i="1"/>
  <c r="V84" i="1"/>
  <c r="T84" i="1"/>
  <c r="W71" i="1"/>
  <c r="V71" i="1"/>
  <c r="T71" i="1"/>
  <c r="W31" i="1"/>
  <c r="V31" i="1"/>
  <c r="T31" i="1"/>
  <c r="W25" i="1"/>
  <c r="V25" i="1"/>
  <c r="T25" i="1"/>
  <c r="W16" i="1"/>
  <c r="V16" i="1"/>
  <c r="T16" i="1"/>
  <c r="W12" i="1"/>
  <c r="V12" i="1"/>
  <c r="T12" i="1"/>
  <c r="V239" i="1" l="1"/>
  <c r="T239" i="1"/>
</calcChain>
</file>

<file path=xl/sharedStrings.xml><?xml version="1.0" encoding="utf-8"?>
<sst xmlns="http://schemas.openxmlformats.org/spreadsheetml/2006/main" count="2456" uniqueCount="351">
  <si>
    <t xml:space="preserve">NIT                                                                           </t>
  </si>
  <si>
    <t xml:space="preserve">NIT          </t>
  </si>
  <si>
    <t xml:space="preserve">SUC   </t>
  </si>
  <si>
    <t xml:space="preserve">NOMBRE                                                      </t>
  </si>
  <si>
    <t xml:space="preserve">TELEFONO   </t>
  </si>
  <si>
    <t xml:space="preserve">DIRECCION                                                                                           </t>
  </si>
  <si>
    <t xml:space="preserve">CIUDAD                                            </t>
  </si>
  <si>
    <t xml:space="preserve">C.COSTO                    </t>
  </si>
  <si>
    <t xml:space="preserve">NOMBRE CENTRO                                     </t>
  </si>
  <si>
    <t>VENDEDOR</t>
  </si>
  <si>
    <t>COBRADOR</t>
  </si>
  <si>
    <t xml:space="preserve">                                                  </t>
  </si>
  <si>
    <t xml:space="preserve">CUENTA    </t>
  </si>
  <si>
    <t xml:space="preserve">      </t>
  </si>
  <si>
    <t xml:space="preserve">DESCRIPCION CUENTA                                </t>
  </si>
  <si>
    <t xml:space="preserve">DOCUMENTO            </t>
  </si>
  <si>
    <t xml:space="preserve">FECHA     </t>
  </si>
  <si>
    <t xml:space="preserve">VENCE     </t>
  </si>
  <si>
    <t xml:space="preserve">DIAS   </t>
  </si>
  <si>
    <t xml:space="preserve">VR. MORA       </t>
  </si>
  <si>
    <t xml:space="preserve">                </t>
  </si>
  <si>
    <t xml:space="preserve">SALDO CONTABLE  </t>
  </si>
  <si>
    <t xml:space="preserve">VENCIDO         </t>
  </si>
  <si>
    <t xml:space="preserve">SALDO VENCIDO   </t>
  </si>
  <si>
    <t xml:space="preserve">    444444007 000 CORPORACION DEGIL                                           </t>
  </si>
  <si>
    <t xml:space="preserve">CORPORACION DEGIL                                           </t>
  </si>
  <si>
    <t xml:space="preserve">ZN INDUSTRIAL LA GUAIRITA AV INTERCOMUNAL         SC LOS BARBEROS ED TROPICAL GUARENAS              </t>
  </si>
  <si>
    <t xml:space="preserve">MIRANDA                                           </t>
  </si>
  <si>
    <t xml:space="preserve">0001                       </t>
  </si>
  <si>
    <t xml:space="preserve">BOGOTA                                            </t>
  </si>
  <si>
    <t xml:space="preserve">0001    </t>
  </si>
  <si>
    <t xml:space="preserve">0103    </t>
  </si>
  <si>
    <t xml:space="preserve">MORA GONZALEZ JUAN CARLOS                         </t>
  </si>
  <si>
    <t xml:space="preserve">13051000  </t>
  </si>
  <si>
    <t xml:space="preserve">DEL EXTERIOR                                      </t>
  </si>
  <si>
    <t>F-001-00000018221-001</t>
  </si>
  <si>
    <t>F-001-00000018520-001</t>
  </si>
  <si>
    <t>F-001-00000020436-001</t>
  </si>
  <si>
    <t xml:space="preserve">    444444460 000 MIND PLUS BEAUTY                                            </t>
  </si>
  <si>
    <t xml:space="preserve">MIND PLUS BEAUTY                                            </t>
  </si>
  <si>
    <t xml:space="preserve">241 W 75 TH ST AP 8                                                                                 </t>
  </si>
  <si>
    <t xml:space="preserve">NEW YORK                                          </t>
  </si>
  <si>
    <t>F-010-00000000722-001</t>
  </si>
  <si>
    <t xml:space="preserve">0003    </t>
  </si>
  <si>
    <t>F-010-00000001273-001</t>
  </si>
  <si>
    <t xml:space="preserve">    444444461 000 PRODIMA S.A                                                 </t>
  </si>
  <si>
    <t xml:space="preserve">PRODIMA S.A                                                 </t>
  </si>
  <si>
    <t xml:space="preserve">SAN MIGUELITO CL 1 MONTE OSCURO                                                                     </t>
  </si>
  <si>
    <t xml:space="preserve">CIUDAD DE PANAMA                                  </t>
  </si>
  <si>
    <t xml:space="preserve">0018    </t>
  </si>
  <si>
    <t xml:space="preserve">0124    </t>
  </si>
  <si>
    <t xml:space="preserve">CUETER NAVARRO MARIA CLAUDIA                      </t>
  </si>
  <si>
    <t>F-010-00000000675-001</t>
  </si>
  <si>
    <t>F-010-00000003165-001</t>
  </si>
  <si>
    <t>F-010-00000010197-001</t>
  </si>
  <si>
    <t>J-003-00000000550-001</t>
  </si>
  <si>
    <t>F-003-00000013723-001</t>
  </si>
  <si>
    <t>F-003-00000015107-001</t>
  </si>
  <si>
    <t xml:space="preserve">0022    </t>
  </si>
  <si>
    <t>F-003-00000016460-001</t>
  </si>
  <si>
    <t xml:space="preserve">    444444513 000 TEXTIQUIM CIA LTDA                                          </t>
  </si>
  <si>
    <t xml:space="preserve">TEXTIQUIM CIA LTDA                                          </t>
  </si>
  <si>
    <t xml:space="preserve">VICENTE DUQUE N77 443 Y JUAN DE SELIS                                                               </t>
  </si>
  <si>
    <t xml:space="preserve">QUITO                                             </t>
  </si>
  <si>
    <t xml:space="preserve">0008    </t>
  </si>
  <si>
    <t>F-010-00000000408-001</t>
  </si>
  <si>
    <t>F-010-00000000687-001</t>
  </si>
  <si>
    <t>F-010-00000001145-001</t>
  </si>
  <si>
    <t>F-010-00000003019-001</t>
  </si>
  <si>
    <t xml:space="preserve">    444444520 000 SENTIO SA                                                   </t>
  </si>
  <si>
    <t xml:space="preserve">SENTIO SA                                                   </t>
  </si>
  <si>
    <t xml:space="preserve">GRAN PLAZA AV 31 SUR Y CALLE 76 SAN FRANCISCO                                                       </t>
  </si>
  <si>
    <t>F-010-00000000242-001</t>
  </si>
  <si>
    <t>F-010-00000000331-001</t>
  </si>
  <si>
    <t>F-010-00000003068-001</t>
  </si>
  <si>
    <t>J-010-00000000279-001</t>
  </si>
  <si>
    <t>F-010-00000004331-001</t>
  </si>
  <si>
    <t>J-010-00000000367-001</t>
  </si>
  <si>
    <t>F-010-00000010257-001</t>
  </si>
  <si>
    <t>J-010-00000000394-001</t>
  </si>
  <si>
    <t>F-010-00000011004-001</t>
  </si>
  <si>
    <t>F-010-00000011339-001</t>
  </si>
  <si>
    <t>J-010-00000000459-001</t>
  </si>
  <si>
    <t>F-010-00000011540-001</t>
  </si>
  <si>
    <t>F-010-00000011758-001</t>
  </si>
  <si>
    <t>J-010-00000000475-001</t>
  </si>
  <si>
    <t>F-010-00000011955-001</t>
  </si>
  <si>
    <t>F-003-00000013080-001</t>
  </si>
  <si>
    <t>F-010-00000012938-001</t>
  </si>
  <si>
    <t>F-003-00000013485-001</t>
  </si>
  <si>
    <t>F-003-00000013796-001</t>
  </si>
  <si>
    <t>F-003-00000014439-001</t>
  </si>
  <si>
    <t>F-003-00000014450-001</t>
  </si>
  <si>
    <t>F-003-00000014683-001</t>
  </si>
  <si>
    <t>F-003-00000015005-001</t>
  </si>
  <si>
    <t>F-003-00000015411-001</t>
  </si>
  <si>
    <t>F-003-00000015603-001</t>
  </si>
  <si>
    <t>J-003-00000000615-001</t>
  </si>
  <si>
    <t>F-003-00000015923-001</t>
  </si>
  <si>
    <t>F-003-00000015927-001</t>
  </si>
  <si>
    <t>F-003-00000015994-001</t>
  </si>
  <si>
    <t>F-003-00000016001-001</t>
  </si>
  <si>
    <t>F-003-00000016358-001</t>
  </si>
  <si>
    <t>F-003-00000016552-001</t>
  </si>
  <si>
    <t>J-003-00000000644-001</t>
  </si>
  <si>
    <t>J-003-00000000650-001</t>
  </si>
  <si>
    <t>F-003-00000016772-001</t>
  </si>
  <si>
    <t>F-003-00000016872-001</t>
  </si>
  <si>
    <t xml:space="preserve">0026    </t>
  </si>
  <si>
    <t>F-003-00000017129-001</t>
  </si>
  <si>
    <t>F-003-00000017341-001</t>
  </si>
  <si>
    <t xml:space="preserve">    444444522 000 LABORATORIOS RENE CHARDON DEL ECUADOR CIA. LTDA             </t>
  </si>
  <si>
    <t xml:space="preserve">LABORATORIOS RENE CHARDON DEL ECUADOR CIA. LTDA             </t>
  </si>
  <si>
    <t xml:space="preserve">PASAJE ERNESTO DONOSO OE10 - 112 TABLAZO                                                            </t>
  </si>
  <si>
    <t>F-003-00000013950-001</t>
  </si>
  <si>
    <t>F-003-00000014278-001</t>
  </si>
  <si>
    <t>F-003-00000014508-001</t>
  </si>
  <si>
    <t>F-003-00000015108-001</t>
  </si>
  <si>
    <t>F-003-00000015551-001</t>
  </si>
  <si>
    <t>F-003-00000016128-001</t>
  </si>
  <si>
    <t>F-003-00000016347-001</t>
  </si>
  <si>
    <t>F-003-00000016467-001</t>
  </si>
  <si>
    <t>F-003-00000016583-001</t>
  </si>
  <si>
    <t xml:space="preserve">0024    </t>
  </si>
  <si>
    <t>F-003-00000017109-001</t>
  </si>
  <si>
    <t>F-003-00000017535-001</t>
  </si>
  <si>
    <t>MOVIDA PROX. MES</t>
  </si>
  <si>
    <t xml:space="preserve">    444444525 000 CLEAN AIR SA DE CV                                          </t>
  </si>
  <si>
    <t xml:space="preserve">CLEAN AIR SA DE CV                                          </t>
  </si>
  <si>
    <t xml:space="preserve">CL DOUGLAS VARELA Y AV MARINA NACIONAL CASA I-1   COLONIA GENERAL ARCE                              </t>
  </si>
  <si>
    <t xml:space="preserve">SAN SALVADOR                                      </t>
  </si>
  <si>
    <t xml:space="preserve">0122    </t>
  </si>
  <si>
    <t xml:space="preserve">PARDO OCHOA JULIANA                               </t>
  </si>
  <si>
    <t>J-010-00000000245-001</t>
  </si>
  <si>
    <t>F-010-00000002431-001</t>
  </si>
  <si>
    <t>J-010-00000000271-001</t>
  </si>
  <si>
    <t>F-010-00000002854-001</t>
  </si>
  <si>
    <t>J-010-00000000340-001</t>
  </si>
  <si>
    <t>F-010-00000003709-001</t>
  </si>
  <si>
    <t>F-010-00000003911-001</t>
  </si>
  <si>
    <t>J-010-00000000344-001</t>
  </si>
  <si>
    <t>J-010-00000000348-001</t>
  </si>
  <si>
    <t>F-010-00000004339-001</t>
  </si>
  <si>
    <t>J-010-00000000417-001</t>
  </si>
  <si>
    <t>F-010-00000010709-001</t>
  </si>
  <si>
    <t>J-010-00000000452-001</t>
  </si>
  <si>
    <t>J-010-00000000458-001</t>
  </si>
  <si>
    <t>F-010-00000011493-001</t>
  </si>
  <si>
    <t>J-010-00000000499-001</t>
  </si>
  <si>
    <t>F-010-00000012005-001</t>
  </si>
  <si>
    <t>F-003-00000013081-001</t>
  </si>
  <si>
    <t>J-003-00000000544-001</t>
  </si>
  <si>
    <t>F-003-00000014082-001</t>
  </si>
  <si>
    <t>J-003-00000000568-001</t>
  </si>
  <si>
    <t xml:space="preserve">    444444526 000 FLORAROM                                                    </t>
  </si>
  <si>
    <t xml:space="preserve">FLORAROM                                                    </t>
  </si>
  <si>
    <t>CL AV 6 DE DICIEMBRE 33 13 INTERSECCION IGNACIO B EDIFICIO SASARI DIAGONAL PARADA BELLAVISTA - ECOVI</t>
  </si>
  <si>
    <t>F-010-00000010875-001</t>
  </si>
  <si>
    <t>F-010-00000012134-001</t>
  </si>
  <si>
    <t xml:space="preserve">    444444527 000 LABORATORIOS SUIZOS S.A. DE C.V.                            </t>
  </si>
  <si>
    <t xml:space="preserve">LABORATORIOS SUIZOS S.A. DE C.V.                            </t>
  </si>
  <si>
    <t xml:space="preserve">CRR AL PUERTO DE LA LIBERTAD KM 10 ANTGO CUSCATLANLA LIBERTAD                                       </t>
  </si>
  <si>
    <t xml:space="preserve">LA LIBERTAD                                       </t>
  </si>
  <si>
    <t>F-010-00000010816-001</t>
  </si>
  <si>
    <t>F-010-00000011127-001</t>
  </si>
  <si>
    <t>F-010-00000012203-001</t>
  </si>
  <si>
    <t>F-003-00000013264-001</t>
  </si>
  <si>
    <t>F-003-00000014215-001</t>
  </si>
  <si>
    <t xml:space="preserve">    444444528 000 AMERICAN BRANDS SA                                          </t>
  </si>
  <si>
    <t xml:space="preserve">AMERICAN BRANDS SA                                          </t>
  </si>
  <si>
    <t xml:space="preserve">HATILLO CENTRO  CONTIGUO A LA CLINIBCA SOLON NUÑEZHATILLO CANTON SAN JOSE                           </t>
  </si>
  <si>
    <t xml:space="preserve">SAN JOSE                                          </t>
  </si>
  <si>
    <t xml:space="preserve">0118    </t>
  </si>
  <si>
    <t xml:space="preserve">CASTAÑO AGUDELO MONICA JANETH                     </t>
  </si>
  <si>
    <t>F-010-00000000589-001</t>
  </si>
  <si>
    <t>F-010-00000001174-001</t>
  </si>
  <si>
    <t>F-010-00000003499-001</t>
  </si>
  <si>
    <t>J-010-00000000433-001</t>
  </si>
  <si>
    <t>F-010-00000011140-001</t>
  </si>
  <si>
    <t>J-010-00000000460-001</t>
  </si>
  <si>
    <t>J-010-00000000461-001</t>
  </si>
  <si>
    <t>F-010-00000011334-001</t>
  </si>
  <si>
    <t>F-010-00000011412-001</t>
  </si>
  <si>
    <t>F-010-00000012169-001</t>
  </si>
  <si>
    <t>F-010-00000012638-001</t>
  </si>
  <si>
    <t>F-003-00000013295-001</t>
  </si>
  <si>
    <t>F-003-00000013786-001</t>
  </si>
  <si>
    <t>F-003-00000015247-001</t>
  </si>
  <si>
    <t>F-003-00000016038-001</t>
  </si>
  <si>
    <t>F-003-00000016181-001</t>
  </si>
  <si>
    <t>F-003-00000016889-001</t>
  </si>
  <si>
    <t>F-003-00000017348-001</t>
  </si>
  <si>
    <t xml:space="preserve">    444444530 000 SUMMA INDUSTRIAL SA DE CV                                   </t>
  </si>
  <si>
    <t xml:space="preserve">SUMMA INDUSTRIAL SA DE CV                                   </t>
  </si>
  <si>
    <t xml:space="preserve">KM 10 1-4 CARRETERA PTO DE LA LIBERTAD SANTA TECLA                                                  </t>
  </si>
  <si>
    <t>F-010-00000000544-001</t>
  </si>
  <si>
    <t xml:space="preserve">    444444534 000 GUERRERO SERVELLON ABNER MAURICIO                           </t>
  </si>
  <si>
    <t xml:space="preserve">GUERRERO SERVELLON ABNER MAURICIO                           </t>
  </si>
  <si>
    <t xml:space="preserve">CL DARIO GONZALEZ N 915 - C - BRR SAN JACINTO     AMG CARS                                          </t>
  </si>
  <si>
    <t xml:space="preserve">0017    </t>
  </si>
  <si>
    <t>F-010-00000003637-001</t>
  </si>
  <si>
    <t xml:space="preserve">    444444540 000 REPRESENTACIONES NAOS SOCIEDAD ANONIMA                      </t>
  </si>
  <si>
    <t xml:space="preserve">REPRESENTACIONES NAOS SOCIEDAD ANONIMA                      </t>
  </si>
  <si>
    <t xml:space="preserve">CALLE 12 AVENIDA REFORMA 12 - 01                  EDIFICIO REFORMA MONTUFAR                         </t>
  </si>
  <si>
    <t xml:space="preserve">CIUDAD DE GUATEMALA                               </t>
  </si>
  <si>
    <t>J-010-00000000366-001</t>
  </si>
  <si>
    <t>F-010-00000010282-001</t>
  </si>
  <si>
    <t>F-010-00000011082-001</t>
  </si>
  <si>
    <t>F-010-00000012213-001</t>
  </si>
  <si>
    <t>F-003-00000013894-001</t>
  </si>
  <si>
    <t>F-003-00000015884-001</t>
  </si>
  <si>
    <t xml:space="preserve">    444444541 000 AROMATIC PTY INTERNATIONAL SA                               </t>
  </si>
  <si>
    <t xml:space="preserve">AROMATIC PTY INTERNATIONAL SA                               </t>
  </si>
  <si>
    <t xml:space="preserve">CALLE RAMON H JURADO TORRE RBS OFICINA 1206       A UN COSTADO DEL MC DONALDS PITILLA PANAMA        </t>
  </si>
  <si>
    <t>F-010-00000011034-001</t>
  </si>
  <si>
    <t>F-010-00000011035-001</t>
  </si>
  <si>
    <t xml:space="preserve">    444444554 000 CARBONERA DE NEGOCIOS VENEZOLANOS COMPAÑIA ANONIMA (CANEVECA</t>
  </si>
  <si>
    <t>CARBONERA DE NEGOCIOS VENEZOLANOS COMPAÑIA ANONIMA (CANEVECA</t>
  </si>
  <si>
    <t xml:space="preserve">AV 9 ENTRE CALLES 69 Y 70 LOCAL 69-91 TIERRA NEGRAMARACAIBO ZULIA ZONA POSTAL 4002                  </t>
  </si>
  <si>
    <t xml:space="preserve">MARACAIBO                                         </t>
  </si>
  <si>
    <t xml:space="preserve">0023    </t>
  </si>
  <si>
    <t xml:space="preserve">0123    </t>
  </si>
  <si>
    <t xml:space="preserve">QUINTERO TAPIAS MARIA CAMILA                      </t>
  </si>
  <si>
    <t>F-010-00000011711-001</t>
  </si>
  <si>
    <t xml:space="preserve">    444444557 000 SYNTEKOCOMPANY S.A.S.                                       </t>
  </si>
  <si>
    <t xml:space="preserve">SYNTEKOCOMPANY S.A.S.                                       </t>
  </si>
  <si>
    <t xml:space="preserve">CL CIPRESES N65 150 INTERSECCION EUCALIPTOS       PROVINCIA PICHINCHA                               </t>
  </si>
  <si>
    <t>F-010-00000011774-001</t>
  </si>
  <si>
    <t>F-010-00000012233-001</t>
  </si>
  <si>
    <t>F-010-00000012608-001</t>
  </si>
  <si>
    <t>F-010-00000012826-001</t>
  </si>
  <si>
    <t>F-003-00000013164-001</t>
  </si>
  <si>
    <t>F-003-00000013715-001</t>
  </si>
  <si>
    <t>F-003-00000014124-001</t>
  </si>
  <si>
    <t>F-003-00000014661-001</t>
  </si>
  <si>
    <t>F-003-00000015550-001</t>
  </si>
  <si>
    <t>J-003-00000000604-001</t>
  </si>
  <si>
    <t>F-003-00000015679-001</t>
  </si>
  <si>
    <t>F-003-00000015801-001</t>
  </si>
  <si>
    <t>F-003-00000016054-001</t>
  </si>
  <si>
    <t>J-003-00000000622-001</t>
  </si>
  <si>
    <t>F-003-00000016184-001</t>
  </si>
  <si>
    <t>F-003-00000016307-001</t>
  </si>
  <si>
    <t>F-003-00000016598-001</t>
  </si>
  <si>
    <t xml:space="preserve">0004    </t>
  </si>
  <si>
    <t>F-003-00000016626-001</t>
  </si>
  <si>
    <t>F-003-00000016897-001</t>
  </si>
  <si>
    <t>F-003-00000017108-001</t>
  </si>
  <si>
    <t>F-003-00000017531-001</t>
  </si>
  <si>
    <t xml:space="preserve">    444444575 000 LABORATORIO JARELAB SOCIEDAD ANONIMA                        </t>
  </si>
  <si>
    <t xml:space="preserve">LABORATORIO JARELAB SOCIEDAD ANONIMA                        </t>
  </si>
  <si>
    <t xml:space="preserve">DEL LICEO DE PAVAS 300M O Y 300M N SAN JOSE CR                                                      </t>
  </si>
  <si>
    <t xml:space="preserve">HEREDIA                                           </t>
  </si>
  <si>
    <t>F-010-00000012563-001</t>
  </si>
  <si>
    <t>F-003-00000013486-001</t>
  </si>
  <si>
    <t>F-003-00000013731-001</t>
  </si>
  <si>
    <t>F-003-00000014231-001</t>
  </si>
  <si>
    <t>F-003-00000014650-001</t>
  </si>
  <si>
    <t>F-003-00000014905-001</t>
  </si>
  <si>
    <t>F-003-00000015264-001</t>
  </si>
  <si>
    <t>F-003-00000015126-001</t>
  </si>
  <si>
    <t>F-003-00000015520-001</t>
  </si>
  <si>
    <t>F-003-00000015924-001</t>
  </si>
  <si>
    <t>F-003-00000016233-001</t>
  </si>
  <si>
    <t>F-003-00000016359-001</t>
  </si>
  <si>
    <t>F-003-00000016785-001</t>
  </si>
  <si>
    <t>F-003-00000016905-001</t>
  </si>
  <si>
    <t>J-003-00000000663-001</t>
  </si>
  <si>
    <t>F-003-00000017294-001</t>
  </si>
  <si>
    <t>F-003-00000017514-001</t>
  </si>
  <si>
    <t xml:space="preserve">    444444578 000 AROMAS Y MATICES S.A.                                       </t>
  </si>
  <si>
    <t xml:space="preserve">AROMAS Y MATICES S.A.                                       </t>
  </si>
  <si>
    <t xml:space="preserve">JR VENTURA GARCIA CALDERON #3587-SAN MARTIN PORRES                                                  </t>
  </si>
  <si>
    <t xml:space="preserve">LIMA                                              </t>
  </si>
  <si>
    <t xml:space="preserve">0125    </t>
  </si>
  <si>
    <t xml:space="preserve">ORTEGA GUTIERREZ MARIA JULIANA                    </t>
  </si>
  <si>
    <t>F-010-00000012502-001</t>
  </si>
  <si>
    <t>J-003-00000000543-001</t>
  </si>
  <si>
    <t>F-003-00000013438-001</t>
  </si>
  <si>
    <t>F-003-00000014277-001</t>
  </si>
  <si>
    <t>F-003-00000015160-001</t>
  </si>
  <si>
    <t xml:space="preserve">    444444583 000 ENVIRO-TECH SOCIEDAD ANONIMA CERRADA                        </t>
  </si>
  <si>
    <t xml:space="preserve">ENVIRO-TECH SOCIEDAD ANONIMA CERRADA                        </t>
  </si>
  <si>
    <t xml:space="preserve">CAL EL CHACO NRO 2650 URB PERU (ALT CD 26 AV PERU)SAN MARTIN DE PORRES                              </t>
  </si>
  <si>
    <t>F-010-00000012834-001</t>
  </si>
  <si>
    <t>F-003-00000014936-001</t>
  </si>
  <si>
    <t>F-003-00000016415-001</t>
  </si>
  <si>
    <t xml:space="preserve">    444444595 000 ILKO PERU S.A.C.                                            </t>
  </si>
  <si>
    <t xml:space="preserve">ILKO PERU S.A.C.                                            </t>
  </si>
  <si>
    <t xml:space="preserve">AV REPUBLICA COLOMB NRO 717 INT 701 (INTER 701 B-CLIMA - SAN ISIDRO                                 </t>
  </si>
  <si>
    <t>F-003-00000015277-001</t>
  </si>
  <si>
    <t>F-003-00000016073-001</t>
  </si>
  <si>
    <t>F-003-00000016074-001</t>
  </si>
  <si>
    <t>F-003-00000016434-001</t>
  </si>
  <si>
    <t xml:space="preserve">    444444598 000 INDUSTRIAL EQUILAB S.A.                                     </t>
  </si>
  <si>
    <t xml:space="preserve">INDUSTRIAL EQUILAB S.A.                                     </t>
  </si>
  <si>
    <t xml:space="preserve">CARTAGO DE LIMA                                   DETRAS DE LAB STEIN                               </t>
  </si>
  <si>
    <t>F-003-00000015625-001</t>
  </si>
  <si>
    <t xml:space="preserve">    444444599 000 PERFUMES FACTORY CA                                         </t>
  </si>
  <si>
    <t xml:space="preserve">PERFUMES FACTORY CA                                         </t>
  </si>
  <si>
    <t xml:space="preserve">CALLE 11 C/5 EDIF KENIKA PISO 2 LOCAL 1 URB       LA URBINA CARACAS MIRANDA ZONA POSTAL 1073        </t>
  </si>
  <si>
    <t xml:space="preserve">CARACAS                                           </t>
  </si>
  <si>
    <t>F-003-00000016108-001</t>
  </si>
  <si>
    <t>F-003-00000016918-001</t>
  </si>
  <si>
    <t>F-003-00000017005-001</t>
  </si>
  <si>
    <t>F-003-00000017078-001</t>
  </si>
  <si>
    <t>F-003-00000017451-001</t>
  </si>
  <si>
    <t xml:space="preserve">    444444608 000 PERFUMES FACTORY LATINAMERICA SRL                           </t>
  </si>
  <si>
    <t xml:space="preserve">PERFUMES FACTORY LATINAMERICA SRL                           </t>
  </si>
  <si>
    <t xml:space="preserve">CARLETON COURT HIGH STREET BRIGETOWN                                                                </t>
  </si>
  <si>
    <t xml:space="preserve">BRIDGETOWN                                        </t>
  </si>
  <si>
    <t>F-003-00000017202-001</t>
  </si>
  <si>
    <t>F-003-00000017203-001</t>
  </si>
  <si>
    <t>F-003-00000017204-001</t>
  </si>
  <si>
    <t xml:space="preserve">    444444610 000 LABORATORIOS BEAUTIK S.A.                                   </t>
  </si>
  <si>
    <t xml:space="preserve">LABORATORIOS BEAUTIK S.A.                                   </t>
  </si>
  <si>
    <t xml:space="preserve">CALLE AREA INDUSTRIAL LAS BRISAS SOLAR # 2 KM 5   VIA DURAN TAMBO MANZANA B11 PROVINCIA GUAYAS      </t>
  </si>
  <si>
    <t xml:space="preserve">DURAN                                             </t>
  </si>
  <si>
    <t>F-003-00000017243-001</t>
  </si>
  <si>
    <t xml:space="preserve">0025    </t>
  </si>
  <si>
    <t>F-003-00000017513-001</t>
  </si>
  <si>
    <t xml:space="preserve">Total     444444007 000 CORPORACION DEGIL                                           </t>
  </si>
  <si>
    <t xml:space="preserve">Total     444444460 000 MIND PLUS BEAUTY                                            </t>
  </si>
  <si>
    <t xml:space="preserve">Total     444444461 000 PRODIMA S.A                                                 </t>
  </si>
  <si>
    <t xml:space="preserve">Total     444444513 000 TEXTIQUIM CIA LTDA                                          </t>
  </si>
  <si>
    <t xml:space="preserve">Total     444444520 000 SENTIO SA                                                   </t>
  </si>
  <si>
    <t xml:space="preserve">Total     444444522 000 LABORATORIOS RENE CHARDON DEL ECUADOR CIA. LTDA             </t>
  </si>
  <si>
    <t xml:space="preserve">Total     444444525 000 CLEAN AIR SA DE CV                                          </t>
  </si>
  <si>
    <t xml:space="preserve">Total     444444526 000 FLORAROM                                                    </t>
  </si>
  <si>
    <t xml:space="preserve">Total     444444527 000 LABORATORIOS SUIZOS S.A. DE C.V.                            </t>
  </si>
  <si>
    <t xml:space="preserve">Total     444444528 000 AMERICAN BRANDS SA                                          </t>
  </si>
  <si>
    <t xml:space="preserve">Total     444444530 000 SUMMA INDUSTRIAL SA DE CV                                   </t>
  </si>
  <si>
    <t xml:space="preserve">Total     444444534 000 GUERRERO SERVELLON ABNER MAURICIO                           </t>
  </si>
  <si>
    <t xml:space="preserve">Total     444444540 000 REPRESENTACIONES NAOS SOCIEDAD ANONIMA                      </t>
  </si>
  <si>
    <t xml:space="preserve">Total     444444541 000 AROMATIC PTY INTERNATIONAL SA                               </t>
  </si>
  <si>
    <t>Total     444444554 000 CARBONERA DE NEGOCIOS VENEZOLANOS COMPAÑIA ANONIMA (CANEVECA</t>
  </si>
  <si>
    <t xml:space="preserve">Total     444444557 000 SYNTEKOCOMPANY S.A.S.                                       </t>
  </si>
  <si>
    <t xml:space="preserve">Total     444444575 000 LABORATORIO JARELAB SOCIEDAD ANONIMA                        </t>
  </si>
  <si>
    <t xml:space="preserve">Total     444444578 000 AROMAS Y MATICES S.A.                                       </t>
  </si>
  <si>
    <t xml:space="preserve">Total     444444583 000 ENVIRO-TECH SOCIEDAD ANONIMA CERRADA                        </t>
  </si>
  <si>
    <t xml:space="preserve">Total     444444595 000 ILKO PERU S.A.C.                                            </t>
  </si>
  <si>
    <t xml:space="preserve">Total     444444598 000 INDUSTRIAL EQUILAB S.A.                                     </t>
  </si>
  <si>
    <t xml:space="preserve">Total     444444599 000 PERFUMES FACTORY CA                                         </t>
  </si>
  <si>
    <t xml:space="preserve">Total     444444608 000 PERFUMES FACTORY LATINAMERICA SRL                           </t>
  </si>
  <si>
    <t xml:space="preserve">Total     444444610 000 LABORATORIOS BEAUTIK S.A.                                   </t>
  </si>
  <si>
    <t>Total general</t>
  </si>
  <si>
    <t xml:space="preserve">Total 13051000  </t>
  </si>
  <si>
    <t>Procesado en: 2026/04/01  09:14:38:79</t>
  </si>
  <si>
    <t>SALDOS DE CARTERA POR  NIT  - NUMERICO</t>
  </si>
  <si>
    <t>Siigo - FINEAROM SAS</t>
  </si>
  <si>
    <t>ABR/01/2026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</si>
</sst>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_);[Red]\(##,##0\)"/>
    <numFmt numFmtId="165" formatCode="yyyy/mm/dd"/>
    <numFmt numFmtId="166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6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9"/>
  <sheetViews>
    <sheetView tabSelected="1" workbookViewId="0">
      <selection sqref="A1:W1"/>
    </sheetView>
  </sheetViews>
  <sheetFormatPr baseColWidth="10" defaultRowHeight="12.75" outlineLevelRow="3"/>
  <cols>
    <col min="1" max="1" width="106.28515625" style="2" bestFit="1" customWidth="1"/>
    <col min="2" max="2" width="13.5703125" style="3" hidden="1" customWidth="1"/>
    <col min="3" max="3" width="6.5703125" style="3" hidden="1" customWidth="1"/>
    <col min="4" max="4" width="74" style="2" hidden="1" customWidth="1"/>
    <col min="5" max="5" width="13.5703125" style="2" bestFit="1" customWidth="1"/>
    <col min="6" max="6" width="112.7109375" style="2" bestFit="1" customWidth="1"/>
    <col min="7" max="7" width="46.42578125" style="2" bestFit="1" customWidth="1"/>
    <col min="8" max="8" width="22.28515625" style="2" bestFit="1" customWidth="1"/>
    <col min="9" max="9" width="41" style="2" bestFit="1" customWidth="1"/>
    <col min="10" max="10" width="11.140625" style="2" bestFit="1" customWidth="1"/>
    <col min="11" max="11" width="11.5703125" style="2" bestFit="1" customWidth="1"/>
    <col min="12" max="12" width="51.7109375" style="2" bestFit="1" customWidth="1"/>
    <col min="13" max="13" width="18.5703125" style="2" bestFit="1" customWidth="1"/>
    <col min="14" max="14" width="4.42578125" style="3" bestFit="1" customWidth="1"/>
    <col min="15" max="15" width="42.42578125" style="2" bestFit="1" customWidth="1"/>
    <col min="16" max="16" width="24.85546875" style="2" bestFit="1" customWidth="1"/>
    <col min="17" max="18" width="11.85546875" style="4" bestFit="1" customWidth="1"/>
    <col min="19" max="19" width="8" style="3" bestFit="1" customWidth="1"/>
    <col min="20" max="20" width="14.28515625" style="5" bestFit="1" customWidth="1"/>
    <col min="21" max="21" width="19.85546875" style="2" bestFit="1" customWidth="1"/>
    <col min="22" max="22" width="19.28515625" style="5" bestFit="1" customWidth="1"/>
    <col min="23" max="23" width="16.7109375" style="5" bestFit="1" customWidth="1"/>
    <col min="24" max="24" width="18.140625" style="5" bestFit="1" customWidth="1"/>
    <col min="25" max="16384" width="11.42578125" style="1"/>
  </cols>
  <sheetData>
    <row r="1" spans="1:24" ht="15">
      <c r="A1" s="15" t="s">
        <v>349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9" t="s">
        <v>350</v>
      </c>
    </row>
    <row r="2" spans="1:24" ht="23.25">
      <c r="A2" s="17" t="s">
        <v>348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6"/>
      <c r="B3" s="7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6"/>
      <c r="P3" s="6"/>
      <c r="Q3" s="8"/>
      <c r="R3" s="8"/>
      <c r="S3" s="7"/>
      <c r="T3" s="9"/>
      <c r="U3" s="6"/>
      <c r="V3" s="9"/>
      <c r="W3" s="9"/>
      <c r="X3" s="9"/>
    </row>
    <row r="4" spans="1:24">
      <c r="A4" s="6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6"/>
      <c r="P4" s="6"/>
      <c r="Q4" s="8"/>
      <c r="R4" s="8"/>
      <c r="S4" s="7"/>
      <c r="T4" s="9"/>
      <c r="U4" s="6"/>
      <c r="V4" s="9"/>
      <c r="W4" s="9"/>
      <c r="X4" s="9"/>
    </row>
    <row r="5" spans="1:24" ht="15">
      <c r="A5" s="15" t="s">
        <v>347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7" spans="1:24">
      <c r="A7" s="10" t="s">
        <v>0</v>
      </c>
      <c r="B7" s="11" t="s">
        <v>1</v>
      </c>
      <c r="C7" s="11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1" t="s">
        <v>13</v>
      </c>
      <c r="O7" s="10" t="s">
        <v>14</v>
      </c>
      <c r="P7" s="10" t="s">
        <v>15</v>
      </c>
      <c r="Q7" s="12" t="s">
        <v>16</v>
      </c>
      <c r="R7" s="12" t="s">
        <v>17</v>
      </c>
      <c r="S7" s="11" t="s">
        <v>18</v>
      </c>
      <c r="T7" s="13" t="s">
        <v>19</v>
      </c>
      <c r="U7" s="10" t="s">
        <v>20</v>
      </c>
      <c r="V7" s="13" t="s">
        <v>21</v>
      </c>
      <c r="W7" s="13" t="s">
        <v>22</v>
      </c>
      <c r="X7" s="13" t="s">
        <v>23</v>
      </c>
    </row>
    <row r="8" spans="1:24" outlineLevel="3">
      <c r="A8" s="2" t="s">
        <v>24</v>
      </c>
      <c r="B8" s="3">
        <v>444444007</v>
      </c>
      <c r="C8" s="3">
        <v>0</v>
      </c>
      <c r="D8" s="2" t="s">
        <v>25</v>
      </c>
      <c r="E8" s="2">
        <v>2123626411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  <c r="N8" s="3">
        <v>0</v>
      </c>
      <c r="O8" s="2" t="s">
        <v>34</v>
      </c>
      <c r="P8" s="2" t="s">
        <v>35</v>
      </c>
      <c r="Q8" s="4">
        <v>42524</v>
      </c>
      <c r="R8" s="4">
        <v>42524</v>
      </c>
      <c r="S8" s="3">
        <v>-3538</v>
      </c>
      <c r="T8" s="5">
        <v>0</v>
      </c>
      <c r="U8" s="2" t="s">
        <v>20</v>
      </c>
      <c r="V8" s="5">
        <v>9164556</v>
      </c>
      <c r="W8" s="5">
        <v>9164556</v>
      </c>
      <c r="X8" s="5">
        <v>9164556</v>
      </c>
    </row>
    <row r="9" spans="1:24" outlineLevel="3">
      <c r="A9" s="2" t="s">
        <v>24</v>
      </c>
      <c r="B9" s="3">
        <v>444444007</v>
      </c>
      <c r="C9" s="3">
        <v>0</v>
      </c>
      <c r="D9" s="2" t="s">
        <v>25</v>
      </c>
      <c r="E9" s="2">
        <v>2123626411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33</v>
      </c>
      <c r="N9" s="3">
        <v>0</v>
      </c>
      <c r="O9" s="2" t="s">
        <v>34</v>
      </c>
      <c r="P9" s="2" t="s">
        <v>36</v>
      </c>
      <c r="Q9" s="4">
        <v>42564</v>
      </c>
      <c r="R9" s="4">
        <v>42564</v>
      </c>
      <c r="S9" s="3">
        <v>-3498</v>
      </c>
      <c r="T9" s="5">
        <v>0</v>
      </c>
      <c r="U9" s="2" t="s">
        <v>20</v>
      </c>
      <c r="V9" s="5">
        <v>86288035.859999999</v>
      </c>
      <c r="W9" s="5">
        <v>86288035.859999999</v>
      </c>
      <c r="X9" s="5">
        <v>95452591.859999999</v>
      </c>
    </row>
    <row r="10" spans="1:24" outlineLevel="3">
      <c r="A10" s="2" t="s">
        <v>24</v>
      </c>
      <c r="B10" s="3">
        <v>444444007</v>
      </c>
      <c r="C10" s="3">
        <v>0</v>
      </c>
      <c r="D10" s="2" t="s">
        <v>25</v>
      </c>
      <c r="E10" s="2">
        <v>2123626411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33</v>
      </c>
      <c r="N10" s="3">
        <v>0</v>
      </c>
      <c r="O10" s="2" t="s">
        <v>34</v>
      </c>
      <c r="P10" s="2" t="s">
        <v>37</v>
      </c>
      <c r="Q10" s="4">
        <v>42786</v>
      </c>
      <c r="R10" s="4">
        <v>42786</v>
      </c>
      <c r="S10" s="3">
        <v>-3281</v>
      </c>
      <c r="T10" s="5">
        <v>0</v>
      </c>
      <c r="U10" s="2" t="s">
        <v>20</v>
      </c>
      <c r="V10" s="5">
        <v>16642390.289999999</v>
      </c>
      <c r="W10" s="5">
        <v>16642390.289999999</v>
      </c>
      <c r="X10" s="5">
        <v>112094982.15000001</v>
      </c>
    </row>
    <row r="11" spans="1:24" outlineLevel="2">
      <c r="M11" s="14" t="s">
        <v>346</v>
      </c>
      <c r="T11" s="5">
        <f>SUBTOTAL(9,T8:T10)</f>
        <v>0</v>
      </c>
      <c r="V11" s="5">
        <f>SUBTOTAL(9,V8:V10)</f>
        <v>112094982.15000001</v>
      </c>
      <c r="W11" s="5">
        <f>SUBTOTAL(9,W8:W10)</f>
        <v>112094982.15000001</v>
      </c>
    </row>
    <row r="12" spans="1:24" outlineLevel="1">
      <c r="A12" s="14" t="s">
        <v>321</v>
      </c>
      <c r="T12" s="5">
        <f>SUBTOTAL(9,T8:T10)</f>
        <v>0</v>
      </c>
      <c r="V12" s="5">
        <f>SUBTOTAL(9,V8:V10)</f>
        <v>112094982.15000001</v>
      </c>
      <c r="W12" s="5">
        <f>SUBTOTAL(9,W8:W10)</f>
        <v>112094982.15000001</v>
      </c>
    </row>
    <row r="13" spans="1:24" outlineLevel="3">
      <c r="A13" s="2" t="s">
        <v>38</v>
      </c>
      <c r="B13" s="3">
        <v>444444460</v>
      </c>
      <c r="C13" s="3">
        <v>0</v>
      </c>
      <c r="D13" s="2" t="s">
        <v>39</v>
      </c>
      <c r="E13" s="2">
        <v>11111111</v>
      </c>
      <c r="F13" s="2" t="s">
        <v>40</v>
      </c>
      <c r="G13" s="2" t="s">
        <v>41</v>
      </c>
      <c r="H13" s="2" t="s">
        <v>28</v>
      </c>
      <c r="I13" s="2" t="s">
        <v>29</v>
      </c>
      <c r="J13" s="2" t="s">
        <v>30</v>
      </c>
      <c r="K13" s="2" t="s">
        <v>31</v>
      </c>
      <c r="L13" s="2" t="s">
        <v>32</v>
      </c>
      <c r="M13" s="2" t="s">
        <v>33</v>
      </c>
      <c r="N13" s="3">
        <v>0</v>
      </c>
      <c r="O13" s="2" t="s">
        <v>34</v>
      </c>
      <c r="P13" s="2" t="s">
        <v>42</v>
      </c>
      <c r="Q13" s="4">
        <v>43951</v>
      </c>
      <c r="R13" s="4">
        <v>43988</v>
      </c>
      <c r="S13" s="3">
        <v>-2095</v>
      </c>
      <c r="T13" s="5">
        <v>0</v>
      </c>
      <c r="U13" s="2" t="s">
        <v>20</v>
      </c>
      <c r="V13" s="5">
        <v>0</v>
      </c>
      <c r="W13" s="5">
        <v>0</v>
      </c>
      <c r="X13" s="5">
        <v>0</v>
      </c>
    </row>
    <row r="14" spans="1:24" outlineLevel="3">
      <c r="A14" s="2" t="s">
        <v>38</v>
      </c>
      <c r="B14" s="3">
        <v>444444460</v>
      </c>
      <c r="C14" s="3">
        <v>0</v>
      </c>
      <c r="D14" s="2" t="s">
        <v>39</v>
      </c>
      <c r="E14" s="2">
        <v>11111111</v>
      </c>
      <c r="F14" s="2" t="s">
        <v>40</v>
      </c>
      <c r="G14" s="2" t="s">
        <v>41</v>
      </c>
      <c r="H14" s="2" t="s">
        <v>28</v>
      </c>
      <c r="I14" s="2" t="s">
        <v>29</v>
      </c>
      <c r="J14" s="2" t="s">
        <v>43</v>
      </c>
      <c r="K14" s="2" t="s">
        <v>31</v>
      </c>
      <c r="L14" s="2" t="s">
        <v>32</v>
      </c>
      <c r="M14" s="2" t="s">
        <v>33</v>
      </c>
      <c r="N14" s="3">
        <v>0</v>
      </c>
      <c r="O14" s="2" t="s">
        <v>34</v>
      </c>
      <c r="P14" s="2" t="s">
        <v>44</v>
      </c>
      <c r="Q14" s="4">
        <v>44047</v>
      </c>
      <c r="R14" s="4">
        <v>44078</v>
      </c>
      <c r="S14" s="3">
        <v>-2007</v>
      </c>
      <c r="T14" s="5">
        <v>0</v>
      </c>
      <c r="U14" s="2" t="s">
        <v>20</v>
      </c>
      <c r="V14" s="5">
        <v>0</v>
      </c>
      <c r="W14" s="5">
        <v>0</v>
      </c>
      <c r="X14" s="5">
        <v>0</v>
      </c>
    </row>
    <row r="15" spans="1:24" outlineLevel="2">
      <c r="M15" s="14" t="s">
        <v>346</v>
      </c>
      <c r="T15" s="5">
        <f>SUBTOTAL(9,T13:T14)</f>
        <v>0</v>
      </c>
      <c r="V15" s="5">
        <f>SUBTOTAL(9,V13:V14)</f>
        <v>0</v>
      </c>
      <c r="W15" s="5">
        <f>SUBTOTAL(9,W13:W14)</f>
        <v>0</v>
      </c>
    </row>
    <row r="16" spans="1:24" outlineLevel="1">
      <c r="A16" s="14" t="s">
        <v>322</v>
      </c>
      <c r="T16" s="5">
        <f>SUBTOTAL(9,T13:T14)</f>
        <v>0</v>
      </c>
      <c r="V16" s="5">
        <f>SUBTOTAL(9,V13:V14)</f>
        <v>0</v>
      </c>
      <c r="W16" s="5">
        <f>SUBTOTAL(9,W13:W14)</f>
        <v>0</v>
      </c>
    </row>
    <row r="17" spans="1:24" outlineLevel="3">
      <c r="A17" s="2" t="s">
        <v>45</v>
      </c>
      <c r="B17" s="3">
        <v>444444461</v>
      </c>
      <c r="C17" s="3">
        <v>0</v>
      </c>
      <c r="D17" s="2" t="s">
        <v>46</v>
      </c>
      <c r="E17" s="2">
        <v>3013850</v>
      </c>
      <c r="F17" s="2" t="s">
        <v>47</v>
      </c>
      <c r="G17" s="2" t="s">
        <v>48</v>
      </c>
      <c r="H17" s="2" t="s">
        <v>28</v>
      </c>
      <c r="I17" s="2" t="s">
        <v>29</v>
      </c>
      <c r="J17" s="2" t="s">
        <v>49</v>
      </c>
      <c r="K17" s="2" t="s">
        <v>50</v>
      </c>
      <c r="L17" s="2" t="s">
        <v>51</v>
      </c>
      <c r="M17" s="2" t="s">
        <v>33</v>
      </c>
      <c r="N17" s="3">
        <v>0</v>
      </c>
      <c r="O17" s="2" t="s">
        <v>34</v>
      </c>
      <c r="P17" s="2" t="s">
        <v>52</v>
      </c>
      <c r="Q17" s="4">
        <v>43945</v>
      </c>
      <c r="R17" s="4">
        <v>43989</v>
      </c>
      <c r="S17" s="3">
        <v>-2094</v>
      </c>
      <c r="T17" s="5">
        <v>0</v>
      </c>
      <c r="U17" s="2" t="s">
        <v>20</v>
      </c>
      <c r="V17" s="5">
        <v>0</v>
      </c>
      <c r="W17" s="5">
        <v>0</v>
      </c>
      <c r="X17" s="5">
        <v>0</v>
      </c>
    </row>
    <row r="18" spans="1:24" outlineLevel="3">
      <c r="A18" s="2" t="s">
        <v>45</v>
      </c>
      <c r="B18" s="3">
        <v>444444461</v>
      </c>
      <c r="C18" s="3">
        <v>0</v>
      </c>
      <c r="D18" s="2" t="s">
        <v>46</v>
      </c>
      <c r="E18" s="2">
        <v>3013850</v>
      </c>
      <c r="F18" s="2" t="s">
        <v>47</v>
      </c>
      <c r="G18" s="2" t="s">
        <v>48</v>
      </c>
      <c r="H18" s="2" t="s">
        <v>28</v>
      </c>
      <c r="I18" s="2" t="s">
        <v>29</v>
      </c>
      <c r="J18" s="2" t="s">
        <v>49</v>
      </c>
      <c r="K18" s="2" t="s">
        <v>50</v>
      </c>
      <c r="L18" s="2" t="s">
        <v>51</v>
      </c>
      <c r="M18" s="2" t="s">
        <v>33</v>
      </c>
      <c r="N18" s="3">
        <v>0</v>
      </c>
      <c r="O18" s="2" t="s">
        <v>34</v>
      </c>
      <c r="P18" s="2" t="s">
        <v>53</v>
      </c>
      <c r="Q18" s="4">
        <v>44344</v>
      </c>
      <c r="R18" s="4">
        <v>44404</v>
      </c>
      <c r="S18" s="3">
        <v>-1684</v>
      </c>
      <c r="T18" s="5">
        <v>0</v>
      </c>
      <c r="U18" s="2" t="s">
        <v>20</v>
      </c>
      <c r="V18" s="5">
        <v>0</v>
      </c>
      <c r="W18" s="5">
        <v>0</v>
      </c>
      <c r="X18" s="5">
        <v>0</v>
      </c>
    </row>
    <row r="19" spans="1:24" outlineLevel="3">
      <c r="A19" s="2" t="s">
        <v>45</v>
      </c>
      <c r="B19" s="3">
        <v>444444461</v>
      </c>
      <c r="C19" s="3">
        <v>0</v>
      </c>
      <c r="D19" s="2" t="s">
        <v>46</v>
      </c>
      <c r="E19" s="2">
        <v>3013850</v>
      </c>
      <c r="F19" s="2" t="s">
        <v>47</v>
      </c>
      <c r="G19" s="2" t="s">
        <v>48</v>
      </c>
      <c r="H19" s="2" t="s">
        <v>28</v>
      </c>
      <c r="I19" s="2" t="s">
        <v>29</v>
      </c>
      <c r="J19" s="2" t="s">
        <v>30</v>
      </c>
      <c r="K19" s="2" t="s">
        <v>50</v>
      </c>
      <c r="L19" s="2" t="s">
        <v>51</v>
      </c>
      <c r="M19" s="2" t="s">
        <v>33</v>
      </c>
      <c r="N19" s="3">
        <v>0</v>
      </c>
      <c r="O19" s="2" t="s">
        <v>34</v>
      </c>
      <c r="P19" s="2" t="s">
        <v>54</v>
      </c>
      <c r="Q19" s="4">
        <v>44545</v>
      </c>
      <c r="R19" s="4">
        <v>44606</v>
      </c>
      <c r="S19" s="3">
        <v>-1487</v>
      </c>
      <c r="T19" s="5">
        <v>0</v>
      </c>
      <c r="U19" s="2" t="s">
        <v>20</v>
      </c>
      <c r="V19" s="5">
        <v>0</v>
      </c>
      <c r="W19" s="5">
        <v>0</v>
      </c>
      <c r="X19" s="5">
        <v>0</v>
      </c>
    </row>
    <row r="20" spans="1:24" outlineLevel="3">
      <c r="A20" s="2" t="s">
        <v>45</v>
      </c>
      <c r="B20" s="3">
        <v>444444461</v>
      </c>
      <c r="C20" s="3">
        <v>0</v>
      </c>
      <c r="D20" s="2" t="s">
        <v>46</v>
      </c>
      <c r="E20" s="2">
        <v>3013850</v>
      </c>
      <c r="F20" s="2" t="s">
        <v>47</v>
      </c>
      <c r="G20" s="2" t="s">
        <v>48</v>
      </c>
      <c r="H20" s="2" t="s">
        <v>28</v>
      </c>
      <c r="I20" s="2" t="s">
        <v>29</v>
      </c>
      <c r="J20" s="2" t="s">
        <v>30</v>
      </c>
      <c r="K20" s="2" t="s">
        <v>50</v>
      </c>
      <c r="L20" s="2" t="s">
        <v>51</v>
      </c>
      <c r="M20" s="2" t="s">
        <v>33</v>
      </c>
      <c r="N20" s="3">
        <v>0</v>
      </c>
      <c r="O20" s="2" t="s">
        <v>34</v>
      </c>
      <c r="P20" s="2" t="s">
        <v>55</v>
      </c>
      <c r="Q20" s="4">
        <v>45202</v>
      </c>
      <c r="R20" s="4">
        <v>45202</v>
      </c>
      <c r="S20" s="3">
        <v>-898</v>
      </c>
      <c r="T20" s="5">
        <v>0</v>
      </c>
      <c r="U20" s="2" t="s">
        <v>20</v>
      </c>
      <c r="V20" s="5">
        <v>0</v>
      </c>
      <c r="W20" s="5">
        <v>0</v>
      </c>
      <c r="X20" s="5">
        <v>0</v>
      </c>
    </row>
    <row r="21" spans="1:24" outlineLevel="3">
      <c r="A21" s="2" t="s">
        <v>45</v>
      </c>
      <c r="B21" s="3">
        <v>444444461</v>
      </c>
      <c r="C21" s="3">
        <v>0</v>
      </c>
      <c r="D21" s="2" t="s">
        <v>46</v>
      </c>
      <c r="E21" s="2">
        <v>3013850</v>
      </c>
      <c r="F21" s="2" t="s">
        <v>47</v>
      </c>
      <c r="G21" s="2" t="s">
        <v>48</v>
      </c>
      <c r="H21" s="2" t="s">
        <v>28</v>
      </c>
      <c r="I21" s="2" t="s">
        <v>29</v>
      </c>
      <c r="J21" s="2" t="s">
        <v>30</v>
      </c>
      <c r="K21" s="2" t="s">
        <v>50</v>
      </c>
      <c r="L21" s="2" t="s">
        <v>51</v>
      </c>
      <c r="M21" s="2" t="s">
        <v>33</v>
      </c>
      <c r="N21" s="3">
        <v>0</v>
      </c>
      <c r="O21" s="2" t="s">
        <v>34</v>
      </c>
      <c r="P21" s="2" t="s">
        <v>56</v>
      </c>
      <c r="Q21" s="4">
        <v>45182</v>
      </c>
      <c r="R21" s="4">
        <v>45242</v>
      </c>
      <c r="S21" s="3">
        <v>-859</v>
      </c>
      <c r="T21" s="5">
        <v>0</v>
      </c>
      <c r="U21" s="2" t="s">
        <v>20</v>
      </c>
      <c r="V21" s="5">
        <v>0</v>
      </c>
      <c r="W21" s="5">
        <v>0</v>
      </c>
      <c r="X21" s="5">
        <v>0</v>
      </c>
    </row>
    <row r="22" spans="1:24" outlineLevel="3">
      <c r="A22" s="2" t="s">
        <v>45</v>
      </c>
      <c r="B22" s="3">
        <v>444444461</v>
      </c>
      <c r="C22" s="3">
        <v>0</v>
      </c>
      <c r="D22" s="2" t="s">
        <v>46</v>
      </c>
      <c r="E22" s="2">
        <v>3013850</v>
      </c>
      <c r="F22" s="2" t="s">
        <v>47</v>
      </c>
      <c r="G22" s="2" t="s">
        <v>48</v>
      </c>
      <c r="H22" s="2" t="s">
        <v>28</v>
      </c>
      <c r="I22" s="2" t="s">
        <v>29</v>
      </c>
      <c r="J22" s="2" t="s">
        <v>30</v>
      </c>
      <c r="K22" s="2" t="s">
        <v>50</v>
      </c>
      <c r="L22" s="2" t="s">
        <v>51</v>
      </c>
      <c r="M22" s="2" t="s">
        <v>33</v>
      </c>
      <c r="N22" s="3">
        <v>0</v>
      </c>
      <c r="O22" s="2" t="s">
        <v>34</v>
      </c>
      <c r="P22" s="2" t="s">
        <v>57</v>
      </c>
      <c r="Q22" s="4">
        <v>45468</v>
      </c>
      <c r="R22" s="4">
        <v>45528</v>
      </c>
      <c r="S22" s="3">
        <v>-577</v>
      </c>
      <c r="T22" s="5">
        <v>0</v>
      </c>
      <c r="U22" s="2" t="s">
        <v>20</v>
      </c>
      <c r="V22" s="5">
        <v>0</v>
      </c>
      <c r="W22" s="5">
        <v>0</v>
      </c>
      <c r="X22" s="5">
        <v>0</v>
      </c>
    </row>
    <row r="23" spans="1:24" outlineLevel="3">
      <c r="A23" s="2" t="s">
        <v>45</v>
      </c>
      <c r="B23" s="3">
        <v>444444461</v>
      </c>
      <c r="C23" s="3">
        <v>0</v>
      </c>
      <c r="D23" s="2" t="s">
        <v>46</v>
      </c>
      <c r="E23" s="2">
        <v>3013850</v>
      </c>
      <c r="F23" s="2" t="s">
        <v>47</v>
      </c>
      <c r="G23" s="2" t="s">
        <v>48</v>
      </c>
      <c r="H23" s="2" t="s">
        <v>28</v>
      </c>
      <c r="I23" s="2" t="s">
        <v>29</v>
      </c>
      <c r="J23" s="2" t="s">
        <v>58</v>
      </c>
      <c r="K23" s="2" t="s">
        <v>50</v>
      </c>
      <c r="L23" s="2" t="s">
        <v>51</v>
      </c>
      <c r="M23" s="2" t="s">
        <v>33</v>
      </c>
      <c r="N23" s="3">
        <v>0</v>
      </c>
      <c r="O23" s="2" t="s">
        <v>34</v>
      </c>
      <c r="P23" s="2" t="s">
        <v>59</v>
      </c>
      <c r="Q23" s="4">
        <v>45804</v>
      </c>
      <c r="R23" s="4">
        <v>45864</v>
      </c>
      <c r="S23" s="3">
        <v>-245</v>
      </c>
      <c r="T23" s="5">
        <v>0</v>
      </c>
      <c r="U23" s="2" t="s">
        <v>20</v>
      </c>
      <c r="V23" s="5">
        <v>6849725.1699999999</v>
      </c>
      <c r="W23" s="5">
        <v>6849725.1699999999</v>
      </c>
      <c r="X23" s="5">
        <v>6849725.1699999999</v>
      </c>
    </row>
    <row r="24" spans="1:24" outlineLevel="2">
      <c r="M24" s="14" t="s">
        <v>346</v>
      </c>
      <c r="T24" s="5">
        <f>SUBTOTAL(9,T17:T23)</f>
        <v>0</v>
      </c>
      <c r="V24" s="5">
        <f>SUBTOTAL(9,V17:V23)</f>
        <v>6849725.1699999999</v>
      </c>
      <c r="W24" s="5">
        <f>SUBTOTAL(9,W17:W23)</f>
        <v>6849725.1699999999</v>
      </c>
    </row>
    <row r="25" spans="1:24" outlineLevel="1">
      <c r="A25" s="14" t="s">
        <v>323</v>
      </c>
      <c r="T25" s="5">
        <f>SUBTOTAL(9,T17:T23)</f>
        <v>0</v>
      </c>
      <c r="V25" s="5">
        <f>SUBTOTAL(9,V17:V23)</f>
        <v>6849725.1699999999</v>
      </c>
      <c r="W25" s="5">
        <f>SUBTOTAL(9,W17:W23)</f>
        <v>6849725.1699999999</v>
      </c>
    </row>
    <row r="26" spans="1:24" outlineLevel="3">
      <c r="A26" s="2" t="s">
        <v>60</v>
      </c>
      <c r="B26" s="3">
        <v>444444513</v>
      </c>
      <c r="C26" s="3">
        <v>0</v>
      </c>
      <c r="D26" s="2" t="s">
        <v>61</v>
      </c>
      <c r="E26" s="2">
        <v>59322478063</v>
      </c>
      <c r="F26" s="2" t="s">
        <v>62</v>
      </c>
      <c r="G26" s="2" t="s">
        <v>63</v>
      </c>
      <c r="H26" s="2" t="s">
        <v>28</v>
      </c>
      <c r="I26" s="2" t="s">
        <v>29</v>
      </c>
      <c r="J26" s="2" t="s">
        <v>64</v>
      </c>
      <c r="K26" s="2" t="s">
        <v>50</v>
      </c>
      <c r="L26" s="2" t="s">
        <v>51</v>
      </c>
      <c r="M26" s="2" t="s">
        <v>33</v>
      </c>
      <c r="N26" s="3">
        <v>0</v>
      </c>
      <c r="O26" s="2" t="s">
        <v>34</v>
      </c>
      <c r="P26" s="2" t="s">
        <v>65</v>
      </c>
      <c r="Q26" s="4">
        <v>43903</v>
      </c>
      <c r="R26" s="4">
        <v>43903</v>
      </c>
      <c r="S26" s="3">
        <v>-2178</v>
      </c>
      <c r="T26" s="5">
        <v>0</v>
      </c>
      <c r="U26" s="2" t="s">
        <v>20</v>
      </c>
      <c r="V26" s="5">
        <v>0</v>
      </c>
      <c r="W26" s="5">
        <v>0</v>
      </c>
      <c r="X26" s="5">
        <v>0</v>
      </c>
    </row>
    <row r="27" spans="1:24" outlineLevel="3">
      <c r="A27" s="2" t="s">
        <v>60</v>
      </c>
      <c r="B27" s="3">
        <v>444444513</v>
      </c>
      <c r="C27" s="3">
        <v>0</v>
      </c>
      <c r="D27" s="2" t="s">
        <v>61</v>
      </c>
      <c r="E27" s="2">
        <v>59322478063</v>
      </c>
      <c r="F27" s="2" t="s">
        <v>62</v>
      </c>
      <c r="G27" s="2" t="s">
        <v>63</v>
      </c>
      <c r="H27" s="2" t="s">
        <v>28</v>
      </c>
      <c r="I27" s="2" t="s">
        <v>29</v>
      </c>
      <c r="J27" s="2" t="s">
        <v>64</v>
      </c>
      <c r="K27" s="2" t="s">
        <v>50</v>
      </c>
      <c r="L27" s="2" t="s">
        <v>51</v>
      </c>
      <c r="M27" s="2" t="s">
        <v>33</v>
      </c>
      <c r="N27" s="3">
        <v>0</v>
      </c>
      <c r="O27" s="2" t="s">
        <v>34</v>
      </c>
      <c r="P27" s="2" t="s">
        <v>66</v>
      </c>
      <c r="Q27" s="4">
        <v>43950</v>
      </c>
      <c r="R27" s="4">
        <v>43950</v>
      </c>
      <c r="S27" s="3">
        <v>-2132</v>
      </c>
      <c r="T27" s="5">
        <v>0</v>
      </c>
      <c r="U27" s="2" t="s">
        <v>20</v>
      </c>
      <c r="V27" s="5">
        <v>0</v>
      </c>
      <c r="W27" s="5">
        <v>0</v>
      </c>
      <c r="X27" s="5">
        <v>0</v>
      </c>
    </row>
    <row r="28" spans="1:24" outlineLevel="3">
      <c r="A28" s="2" t="s">
        <v>60</v>
      </c>
      <c r="B28" s="3">
        <v>444444513</v>
      </c>
      <c r="C28" s="3">
        <v>0</v>
      </c>
      <c r="D28" s="2" t="s">
        <v>61</v>
      </c>
      <c r="E28" s="2">
        <v>59322478063</v>
      </c>
      <c r="F28" s="2" t="s">
        <v>62</v>
      </c>
      <c r="G28" s="2" t="s">
        <v>63</v>
      </c>
      <c r="H28" s="2" t="s">
        <v>28</v>
      </c>
      <c r="I28" s="2" t="s">
        <v>29</v>
      </c>
      <c r="J28" s="2" t="s">
        <v>64</v>
      </c>
      <c r="K28" s="2" t="s">
        <v>50</v>
      </c>
      <c r="L28" s="2" t="s">
        <v>51</v>
      </c>
      <c r="M28" s="2" t="s">
        <v>33</v>
      </c>
      <c r="N28" s="3">
        <v>0</v>
      </c>
      <c r="O28" s="2" t="s">
        <v>34</v>
      </c>
      <c r="P28" s="2" t="s">
        <v>67</v>
      </c>
      <c r="Q28" s="4">
        <v>44027</v>
      </c>
      <c r="R28" s="4">
        <v>44027</v>
      </c>
      <c r="S28" s="3">
        <v>-2056</v>
      </c>
      <c r="T28" s="5">
        <v>0</v>
      </c>
      <c r="U28" s="2" t="s">
        <v>20</v>
      </c>
      <c r="V28" s="5">
        <v>0</v>
      </c>
      <c r="W28" s="5">
        <v>0</v>
      </c>
      <c r="X28" s="5">
        <v>0</v>
      </c>
    </row>
    <row r="29" spans="1:24" outlineLevel="3">
      <c r="A29" s="2" t="s">
        <v>60</v>
      </c>
      <c r="B29" s="3">
        <v>444444513</v>
      </c>
      <c r="C29" s="3">
        <v>0</v>
      </c>
      <c r="D29" s="2" t="s">
        <v>61</v>
      </c>
      <c r="E29" s="2">
        <v>59322478063</v>
      </c>
      <c r="F29" s="2" t="s">
        <v>62</v>
      </c>
      <c r="G29" s="2" t="s">
        <v>63</v>
      </c>
      <c r="H29" s="2" t="s">
        <v>28</v>
      </c>
      <c r="I29" s="2" t="s">
        <v>29</v>
      </c>
      <c r="J29" s="2" t="s">
        <v>64</v>
      </c>
      <c r="K29" s="2" t="s">
        <v>50</v>
      </c>
      <c r="L29" s="2" t="s">
        <v>51</v>
      </c>
      <c r="M29" s="2" t="s">
        <v>33</v>
      </c>
      <c r="N29" s="3">
        <v>0</v>
      </c>
      <c r="O29" s="2" t="s">
        <v>34</v>
      </c>
      <c r="P29" s="2" t="s">
        <v>68</v>
      </c>
      <c r="Q29" s="4">
        <v>44320</v>
      </c>
      <c r="R29" s="4">
        <v>44380</v>
      </c>
      <c r="S29" s="3">
        <v>-1708</v>
      </c>
      <c r="T29" s="5">
        <v>0</v>
      </c>
      <c r="U29" s="2" t="s">
        <v>20</v>
      </c>
      <c r="V29" s="5">
        <v>0</v>
      </c>
      <c r="W29" s="5">
        <v>0</v>
      </c>
      <c r="X29" s="5">
        <v>0</v>
      </c>
    </row>
    <row r="30" spans="1:24" outlineLevel="2">
      <c r="M30" s="14" t="s">
        <v>346</v>
      </c>
      <c r="T30" s="5">
        <f>SUBTOTAL(9,T26:T29)</f>
        <v>0</v>
      </c>
      <c r="V30" s="5">
        <f>SUBTOTAL(9,V26:V29)</f>
        <v>0</v>
      </c>
      <c r="W30" s="5">
        <f>SUBTOTAL(9,W26:W29)</f>
        <v>0</v>
      </c>
    </row>
    <row r="31" spans="1:24" outlineLevel="1">
      <c r="A31" s="14" t="s">
        <v>324</v>
      </c>
      <c r="T31" s="5">
        <f>SUBTOTAL(9,T26:T29)</f>
        <v>0</v>
      </c>
      <c r="V31" s="5">
        <f>SUBTOTAL(9,V26:V29)</f>
        <v>0</v>
      </c>
      <c r="W31" s="5">
        <f>SUBTOTAL(9,W26:W29)</f>
        <v>0</v>
      </c>
    </row>
    <row r="32" spans="1:24" outlineLevel="3">
      <c r="A32" s="2" t="s">
        <v>69</v>
      </c>
      <c r="B32" s="3">
        <v>444444520</v>
      </c>
      <c r="C32" s="3">
        <v>0</v>
      </c>
      <c r="D32" s="2" t="s">
        <v>70</v>
      </c>
      <c r="E32" s="2">
        <v>66182747</v>
      </c>
      <c r="F32" s="2" t="s">
        <v>71</v>
      </c>
      <c r="G32" s="2" t="s">
        <v>48</v>
      </c>
      <c r="H32" s="2" t="s">
        <v>28</v>
      </c>
      <c r="I32" s="2" t="s">
        <v>29</v>
      </c>
      <c r="J32" s="2" t="s">
        <v>30</v>
      </c>
      <c r="K32" s="2" t="s">
        <v>50</v>
      </c>
      <c r="L32" s="2" t="s">
        <v>51</v>
      </c>
      <c r="M32" s="2" t="s">
        <v>33</v>
      </c>
      <c r="N32" s="3">
        <v>0</v>
      </c>
      <c r="O32" s="2" t="s">
        <v>34</v>
      </c>
      <c r="P32" s="2" t="s">
        <v>72</v>
      </c>
      <c r="Q32" s="4">
        <v>43889</v>
      </c>
      <c r="R32" s="4">
        <v>43889</v>
      </c>
      <c r="S32" s="3">
        <v>-2193</v>
      </c>
      <c r="T32" s="5">
        <v>0</v>
      </c>
      <c r="U32" s="2" t="s">
        <v>20</v>
      </c>
      <c r="V32" s="5">
        <v>0</v>
      </c>
      <c r="W32" s="5">
        <v>0</v>
      </c>
      <c r="X32" s="5">
        <v>0</v>
      </c>
    </row>
    <row r="33" spans="1:24" outlineLevel="3">
      <c r="A33" s="2" t="s">
        <v>69</v>
      </c>
      <c r="B33" s="3">
        <v>444444520</v>
      </c>
      <c r="C33" s="3">
        <v>0</v>
      </c>
      <c r="D33" s="2" t="s">
        <v>70</v>
      </c>
      <c r="E33" s="2">
        <v>66182747</v>
      </c>
      <c r="F33" s="2" t="s">
        <v>71</v>
      </c>
      <c r="G33" s="2" t="s">
        <v>48</v>
      </c>
      <c r="H33" s="2" t="s">
        <v>28</v>
      </c>
      <c r="I33" s="2" t="s">
        <v>29</v>
      </c>
      <c r="J33" s="2" t="s">
        <v>30</v>
      </c>
      <c r="K33" s="2" t="s">
        <v>50</v>
      </c>
      <c r="L33" s="2" t="s">
        <v>51</v>
      </c>
      <c r="M33" s="2" t="s">
        <v>33</v>
      </c>
      <c r="N33" s="3">
        <v>0</v>
      </c>
      <c r="O33" s="2" t="s">
        <v>34</v>
      </c>
      <c r="P33" s="2" t="s">
        <v>73</v>
      </c>
      <c r="Q33" s="4">
        <v>43892</v>
      </c>
      <c r="R33" s="4">
        <v>43896</v>
      </c>
      <c r="S33" s="3">
        <v>-2185</v>
      </c>
      <c r="T33" s="5">
        <v>0</v>
      </c>
      <c r="U33" s="2" t="s">
        <v>20</v>
      </c>
      <c r="V33" s="5">
        <v>0</v>
      </c>
      <c r="W33" s="5">
        <v>0</v>
      </c>
      <c r="X33" s="5">
        <v>0</v>
      </c>
    </row>
    <row r="34" spans="1:24" outlineLevel="3">
      <c r="A34" s="2" t="s">
        <v>69</v>
      </c>
      <c r="B34" s="3">
        <v>444444520</v>
      </c>
      <c r="C34" s="3">
        <v>0</v>
      </c>
      <c r="D34" s="2" t="s">
        <v>70</v>
      </c>
      <c r="E34" s="2">
        <v>66182747</v>
      </c>
      <c r="F34" s="2" t="s">
        <v>71</v>
      </c>
      <c r="G34" s="2" t="s">
        <v>48</v>
      </c>
      <c r="H34" s="2" t="s">
        <v>28</v>
      </c>
      <c r="I34" s="2" t="s">
        <v>29</v>
      </c>
      <c r="J34" s="2" t="s">
        <v>30</v>
      </c>
      <c r="K34" s="2" t="s">
        <v>50</v>
      </c>
      <c r="L34" s="2" t="s">
        <v>51</v>
      </c>
      <c r="M34" s="2" t="s">
        <v>33</v>
      </c>
      <c r="N34" s="3">
        <v>0</v>
      </c>
      <c r="O34" s="2" t="s">
        <v>34</v>
      </c>
      <c r="P34" s="2" t="s">
        <v>74</v>
      </c>
      <c r="Q34" s="4">
        <v>44317</v>
      </c>
      <c r="R34" s="4">
        <v>44328</v>
      </c>
      <c r="S34" s="3">
        <v>-1759</v>
      </c>
      <c r="T34" s="5">
        <v>0</v>
      </c>
      <c r="U34" s="2" t="s">
        <v>20</v>
      </c>
      <c r="V34" s="5">
        <v>0</v>
      </c>
      <c r="W34" s="5">
        <v>0</v>
      </c>
      <c r="X34" s="5">
        <v>0</v>
      </c>
    </row>
    <row r="35" spans="1:24" outlineLevel="3">
      <c r="A35" s="2" t="s">
        <v>69</v>
      </c>
      <c r="B35" s="3">
        <v>444444520</v>
      </c>
      <c r="C35" s="3">
        <v>0</v>
      </c>
      <c r="D35" s="2" t="s">
        <v>70</v>
      </c>
      <c r="E35" s="2">
        <v>66182747</v>
      </c>
      <c r="F35" s="2" t="s">
        <v>71</v>
      </c>
      <c r="G35" s="2" t="s">
        <v>48</v>
      </c>
      <c r="H35" s="2" t="s">
        <v>28</v>
      </c>
      <c r="I35" s="2" t="s">
        <v>29</v>
      </c>
      <c r="J35" s="2" t="s">
        <v>30</v>
      </c>
      <c r="K35" s="2" t="s">
        <v>50</v>
      </c>
      <c r="L35" s="2" t="s">
        <v>51</v>
      </c>
      <c r="M35" s="2" t="s">
        <v>33</v>
      </c>
      <c r="N35" s="3">
        <v>0</v>
      </c>
      <c r="O35" s="2" t="s">
        <v>34</v>
      </c>
      <c r="P35" s="2" t="s">
        <v>75</v>
      </c>
      <c r="Q35" s="4">
        <v>44317</v>
      </c>
      <c r="R35" s="4">
        <v>44328</v>
      </c>
      <c r="S35" s="3">
        <v>-1759</v>
      </c>
      <c r="T35" s="5">
        <v>0</v>
      </c>
      <c r="U35" s="2" t="s">
        <v>20</v>
      </c>
      <c r="V35" s="5">
        <v>0</v>
      </c>
      <c r="W35" s="5">
        <v>0</v>
      </c>
      <c r="X35" s="5">
        <v>0</v>
      </c>
    </row>
    <row r="36" spans="1:24" outlineLevel="3">
      <c r="A36" s="2" t="s">
        <v>69</v>
      </c>
      <c r="B36" s="3">
        <v>444444520</v>
      </c>
      <c r="C36" s="3">
        <v>0</v>
      </c>
      <c r="D36" s="2" t="s">
        <v>70</v>
      </c>
      <c r="E36" s="2">
        <v>66182747</v>
      </c>
      <c r="F36" s="2" t="s">
        <v>71</v>
      </c>
      <c r="G36" s="2" t="s">
        <v>48</v>
      </c>
      <c r="H36" s="2" t="s">
        <v>28</v>
      </c>
      <c r="I36" s="2" t="s">
        <v>29</v>
      </c>
      <c r="J36" s="2" t="s">
        <v>30</v>
      </c>
      <c r="K36" s="2" t="s">
        <v>50</v>
      </c>
      <c r="L36" s="2" t="s">
        <v>51</v>
      </c>
      <c r="M36" s="2" t="s">
        <v>33</v>
      </c>
      <c r="N36" s="3">
        <v>0</v>
      </c>
      <c r="O36" s="2" t="s">
        <v>34</v>
      </c>
      <c r="P36" s="2" t="s">
        <v>76</v>
      </c>
      <c r="Q36" s="4">
        <v>44512</v>
      </c>
      <c r="R36" s="4">
        <v>44542</v>
      </c>
      <c r="S36" s="3">
        <v>-1549</v>
      </c>
      <c r="T36" s="5">
        <v>0</v>
      </c>
      <c r="U36" s="2" t="s">
        <v>20</v>
      </c>
      <c r="V36" s="5">
        <v>0</v>
      </c>
      <c r="W36" s="5">
        <v>0</v>
      </c>
      <c r="X36" s="5">
        <v>0</v>
      </c>
    </row>
    <row r="37" spans="1:24" outlineLevel="3">
      <c r="A37" s="2" t="s">
        <v>69</v>
      </c>
      <c r="B37" s="3">
        <v>444444520</v>
      </c>
      <c r="C37" s="3">
        <v>0</v>
      </c>
      <c r="D37" s="2" t="s">
        <v>70</v>
      </c>
      <c r="E37" s="2">
        <v>66182747</v>
      </c>
      <c r="F37" s="2" t="s">
        <v>71</v>
      </c>
      <c r="G37" s="2" t="s">
        <v>48</v>
      </c>
      <c r="H37" s="2" t="s">
        <v>28</v>
      </c>
      <c r="I37" s="2" t="s">
        <v>29</v>
      </c>
      <c r="J37" s="2" t="s">
        <v>30</v>
      </c>
      <c r="K37" s="2" t="s">
        <v>50</v>
      </c>
      <c r="L37" s="2" t="s">
        <v>51</v>
      </c>
      <c r="M37" s="2" t="s">
        <v>33</v>
      </c>
      <c r="N37" s="3">
        <v>0</v>
      </c>
      <c r="O37" s="2" t="s">
        <v>34</v>
      </c>
      <c r="P37" s="2" t="s">
        <v>77</v>
      </c>
      <c r="Q37" s="4">
        <v>44552</v>
      </c>
      <c r="R37" s="4">
        <v>44552</v>
      </c>
      <c r="S37" s="3">
        <v>-1539</v>
      </c>
      <c r="T37" s="5">
        <v>0</v>
      </c>
      <c r="U37" s="2" t="s">
        <v>20</v>
      </c>
      <c r="V37" s="5">
        <v>0</v>
      </c>
      <c r="W37" s="5">
        <v>0</v>
      </c>
      <c r="X37" s="5">
        <v>0</v>
      </c>
    </row>
    <row r="38" spans="1:24" outlineLevel="3">
      <c r="A38" s="2" t="s">
        <v>69</v>
      </c>
      <c r="B38" s="3">
        <v>444444520</v>
      </c>
      <c r="C38" s="3">
        <v>0</v>
      </c>
      <c r="D38" s="2" t="s">
        <v>70</v>
      </c>
      <c r="E38" s="2">
        <v>66182747</v>
      </c>
      <c r="F38" s="2" t="s">
        <v>71</v>
      </c>
      <c r="G38" s="2" t="s">
        <v>48</v>
      </c>
      <c r="H38" s="2" t="s">
        <v>28</v>
      </c>
      <c r="I38" s="2" t="s">
        <v>29</v>
      </c>
      <c r="J38" s="2" t="s">
        <v>30</v>
      </c>
      <c r="K38" s="2" t="s">
        <v>50</v>
      </c>
      <c r="L38" s="2" t="s">
        <v>51</v>
      </c>
      <c r="M38" s="2" t="s">
        <v>33</v>
      </c>
      <c r="N38" s="3">
        <v>0</v>
      </c>
      <c r="O38" s="2" t="s">
        <v>34</v>
      </c>
      <c r="P38" s="2" t="s">
        <v>78</v>
      </c>
      <c r="Q38" s="4">
        <v>44552</v>
      </c>
      <c r="R38" s="4">
        <v>44583</v>
      </c>
      <c r="S38" s="3">
        <v>-1509</v>
      </c>
      <c r="T38" s="5">
        <v>0</v>
      </c>
      <c r="U38" s="2" t="s">
        <v>20</v>
      </c>
      <c r="V38" s="5">
        <v>0</v>
      </c>
      <c r="W38" s="5">
        <v>0</v>
      </c>
      <c r="X38" s="5">
        <v>0</v>
      </c>
    </row>
    <row r="39" spans="1:24" outlineLevel="3">
      <c r="A39" s="2" t="s">
        <v>69</v>
      </c>
      <c r="B39" s="3">
        <v>444444520</v>
      </c>
      <c r="C39" s="3">
        <v>0</v>
      </c>
      <c r="D39" s="2" t="s">
        <v>70</v>
      </c>
      <c r="E39" s="2">
        <v>66182747</v>
      </c>
      <c r="F39" s="2" t="s">
        <v>71</v>
      </c>
      <c r="G39" s="2" t="s">
        <v>48</v>
      </c>
      <c r="H39" s="2" t="s">
        <v>28</v>
      </c>
      <c r="I39" s="2" t="s">
        <v>29</v>
      </c>
      <c r="J39" s="2" t="s">
        <v>30</v>
      </c>
      <c r="K39" s="2" t="s">
        <v>50</v>
      </c>
      <c r="L39" s="2" t="s">
        <v>51</v>
      </c>
      <c r="M39" s="2" t="s">
        <v>33</v>
      </c>
      <c r="N39" s="3">
        <v>0</v>
      </c>
      <c r="O39" s="2" t="s">
        <v>34</v>
      </c>
      <c r="P39" s="2" t="s">
        <v>79</v>
      </c>
      <c r="Q39" s="4">
        <v>44613</v>
      </c>
      <c r="R39" s="4">
        <v>44613</v>
      </c>
      <c r="S39" s="3">
        <v>-1480</v>
      </c>
      <c r="T39" s="5">
        <v>0</v>
      </c>
      <c r="U39" s="2" t="s">
        <v>20</v>
      </c>
      <c r="V39" s="5">
        <v>0</v>
      </c>
      <c r="W39" s="5">
        <v>0</v>
      </c>
      <c r="X39" s="5">
        <v>0</v>
      </c>
    </row>
    <row r="40" spans="1:24" outlineLevel="3">
      <c r="A40" s="2" t="s">
        <v>69</v>
      </c>
      <c r="B40" s="3">
        <v>444444520</v>
      </c>
      <c r="C40" s="3">
        <v>0</v>
      </c>
      <c r="D40" s="2" t="s">
        <v>70</v>
      </c>
      <c r="E40" s="2">
        <v>66182747</v>
      </c>
      <c r="F40" s="2" t="s">
        <v>71</v>
      </c>
      <c r="G40" s="2" t="s">
        <v>48</v>
      </c>
      <c r="H40" s="2" t="s">
        <v>28</v>
      </c>
      <c r="I40" s="2" t="s">
        <v>29</v>
      </c>
      <c r="J40" s="2" t="s">
        <v>30</v>
      </c>
      <c r="K40" s="2" t="s">
        <v>50</v>
      </c>
      <c r="L40" s="2" t="s">
        <v>51</v>
      </c>
      <c r="M40" s="2" t="s">
        <v>33</v>
      </c>
      <c r="N40" s="3">
        <v>0</v>
      </c>
      <c r="O40" s="2" t="s">
        <v>34</v>
      </c>
      <c r="P40" s="2" t="s">
        <v>80</v>
      </c>
      <c r="Q40" s="4">
        <v>44699</v>
      </c>
      <c r="R40" s="4">
        <v>44730</v>
      </c>
      <c r="S40" s="3">
        <v>-1363</v>
      </c>
      <c r="T40" s="5">
        <v>0</v>
      </c>
      <c r="U40" s="2" t="s">
        <v>20</v>
      </c>
      <c r="V40" s="5">
        <v>0</v>
      </c>
      <c r="W40" s="5">
        <v>0</v>
      </c>
      <c r="X40" s="5">
        <v>0</v>
      </c>
    </row>
    <row r="41" spans="1:24" outlineLevel="3">
      <c r="A41" s="2" t="s">
        <v>69</v>
      </c>
      <c r="B41" s="3">
        <v>444444520</v>
      </c>
      <c r="C41" s="3">
        <v>0</v>
      </c>
      <c r="D41" s="2" t="s">
        <v>70</v>
      </c>
      <c r="E41" s="2">
        <v>66182747</v>
      </c>
      <c r="F41" s="2" t="s">
        <v>71</v>
      </c>
      <c r="G41" s="2" t="s">
        <v>48</v>
      </c>
      <c r="H41" s="2" t="s">
        <v>28</v>
      </c>
      <c r="I41" s="2" t="s">
        <v>29</v>
      </c>
      <c r="J41" s="2" t="s">
        <v>30</v>
      </c>
      <c r="K41" s="2" t="s">
        <v>50</v>
      </c>
      <c r="L41" s="2" t="s">
        <v>51</v>
      </c>
      <c r="M41" s="2" t="s">
        <v>33</v>
      </c>
      <c r="N41" s="3">
        <v>0</v>
      </c>
      <c r="O41" s="2" t="s">
        <v>34</v>
      </c>
      <c r="P41" s="2" t="s">
        <v>81</v>
      </c>
      <c r="Q41" s="4">
        <v>44755</v>
      </c>
      <c r="R41" s="4">
        <v>44786</v>
      </c>
      <c r="S41" s="3">
        <v>-1308</v>
      </c>
      <c r="T41" s="5">
        <v>0</v>
      </c>
      <c r="U41" s="2" t="s">
        <v>20</v>
      </c>
      <c r="V41" s="5">
        <v>0</v>
      </c>
      <c r="W41" s="5">
        <v>0</v>
      </c>
      <c r="X41" s="5">
        <v>0</v>
      </c>
    </row>
    <row r="42" spans="1:24" outlineLevel="3">
      <c r="A42" s="2" t="s">
        <v>69</v>
      </c>
      <c r="B42" s="3">
        <v>444444520</v>
      </c>
      <c r="C42" s="3">
        <v>0</v>
      </c>
      <c r="D42" s="2" t="s">
        <v>70</v>
      </c>
      <c r="E42" s="2">
        <v>66182747</v>
      </c>
      <c r="F42" s="2" t="s">
        <v>71</v>
      </c>
      <c r="G42" s="2" t="s">
        <v>48</v>
      </c>
      <c r="H42" s="2" t="s">
        <v>28</v>
      </c>
      <c r="I42" s="2" t="s">
        <v>29</v>
      </c>
      <c r="J42" s="2" t="s">
        <v>30</v>
      </c>
      <c r="K42" s="2" t="s">
        <v>50</v>
      </c>
      <c r="L42" s="2" t="s">
        <v>51</v>
      </c>
      <c r="M42" s="2" t="s">
        <v>33</v>
      </c>
      <c r="N42" s="3">
        <v>0</v>
      </c>
      <c r="O42" s="2" t="s">
        <v>34</v>
      </c>
      <c r="P42" s="2" t="s">
        <v>82</v>
      </c>
      <c r="Q42" s="4">
        <v>44809</v>
      </c>
      <c r="R42" s="4">
        <v>44809</v>
      </c>
      <c r="S42" s="3">
        <v>-1286</v>
      </c>
      <c r="T42" s="5">
        <v>0</v>
      </c>
      <c r="U42" s="2" t="s">
        <v>20</v>
      </c>
      <c r="V42" s="5">
        <v>0</v>
      </c>
      <c r="W42" s="5">
        <v>0</v>
      </c>
      <c r="X42" s="5">
        <v>0</v>
      </c>
    </row>
    <row r="43" spans="1:24" outlineLevel="3">
      <c r="A43" s="2" t="s">
        <v>69</v>
      </c>
      <c r="B43" s="3">
        <v>444444520</v>
      </c>
      <c r="C43" s="3">
        <v>0</v>
      </c>
      <c r="D43" s="2" t="s">
        <v>70</v>
      </c>
      <c r="E43" s="2">
        <v>66182747</v>
      </c>
      <c r="F43" s="2" t="s">
        <v>71</v>
      </c>
      <c r="G43" s="2" t="s">
        <v>48</v>
      </c>
      <c r="H43" s="2" t="s">
        <v>28</v>
      </c>
      <c r="I43" s="2" t="s">
        <v>29</v>
      </c>
      <c r="J43" s="2" t="s">
        <v>30</v>
      </c>
      <c r="K43" s="2" t="s">
        <v>50</v>
      </c>
      <c r="L43" s="2" t="s">
        <v>51</v>
      </c>
      <c r="M43" s="2" t="s">
        <v>33</v>
      </c>
      <c r="N43" s="3">
        <v>0</v>
      </c>
      <c r="O43" s="2" t="s">
        <v>34</v>
      </c>
      <c r="P43" s="2" t="s">
        <v>83</v>
      </c>
      <c r="Q43" s="4">
        <v>44785</v>
      </c>
      <c r="R43" s="4">
        <v>44816</v>
      </c>
      <c r="S43" s="3">
        <v>-1279</v>
      </c>
      <c r="T43" s="5">
        <v>0</v>
      </c>
      <c r="U43" s="2" t="s">
        <v>20</v>
      </c>
      <c r="V43" s="5">
        <v>0</v>
      </c>
      <c r="W43" s="5">
        <v>0</v>
      </c>
      <c r="X43" s="5">
        <v>0</v>
      </c>
    </row>
    <row r="44" spans="1:24" outlineLevel="3">
      <c r="A44" s="2" t="s">
        <v>69</v>
      </c>
      <c r="B44" s="3">
        <v>444444520</v>
      </c>
      <c r="C44" s="3">
        <v>0</v>
      </c>
      <c r="D44" s="2" t="s">
        <v>70</v>
      </c>
      <c r="E44" s="2">
        <v>66182747</v>
      </c>
      <c r="F44" s="2" t="s">
        <v>71</v>
      </c>
      <c r="G44" s="2" t="s">
        <v>48</v>
      </c>
      <c r="H44" s="2" t="s">
        <v>28</v>
      </c>
      <c r="I44" s="2" t="s">
        <v>29</v>
      </c>
      <c r="J44" s="2" t="s">
        <v>30</v>
      </c>
      <c r="K44" s="2" t="s">
        <v>50</v>
      </c>
      <c r="L44" s="2" t="s">
        <v>51</v>
      </c>
      <c r="M44" s="2" t="s">
        <v>33</v>
      </c>
      <c r="N44" s="3">
        <v>0</v>
      </c>
      <c r="O44" s="2" t="s">
        <v>34</v>
      </c>
      <c r="P44" s="2" t="s">
        <v>84</v>
      </c>
      <c r="Q44" s="4">
        <v>44819</v>
      </c>
      <c r="R44" s="4">
        <v>44849</v>
      </c>
      <c r="S44" s="3">
        <v>-1246</v>
      </c>
      <c r="T44" s="5">
        <v>0</v>
      </c>
      <c r="U44" s="2" t="s">
        <v>20</v>
      </c>
      <c r="V44" s="5">
        <v>0</v>
      </c>
      <c r="W44" s="5">
        <v>0</v>
      </c>
      <c r="X44" s="5">
        <v>0</v>
      </c>
    </row>
    <row r="45" spans="1:24" outlineLevel="3">
      <c r="A45" s="2" t="s">
        <v>69</v>
      </c>
      <c r="B45" s="3">
        <v>444444520</v>
      </c>
      <c r="C45" s="3">
        <v>0</v>
      </c>
      <c r="D45" s="2" t="s">
        <v>70</v>
      </c>
      <c r="E45" s="2">
        <v>66182747</v>
      </c>
      <c r="F45" s="2" t="s">
        <v>71</v>
      </c>
      <c r="G45" s="2" t="s">
        <v>48</v>
      </c>
      <c r="H45" s="2" t="s">
        <v>28</v>
      </c>
      <c r="I45" s="2" t="s">
        <v>29</v>
      </c>
      <c r="J45" s="2" t="s">
        <v>30</v>
      </c>
      <c r="K45" s="2" t="s">
        <v>50</v>
      </c>
      <c r="L45" s="2" t="s">
        <v>51</v>
      </c>
      <c r="M45" s="2" t="s">
        <v>33</v>
      </c>
      <c r="N45" s="3">
        <v>0</v>
      </c>
      <c r="O45" s="2" t="s">
        <v>34</v>
      </c>
      <c r="P45" s="2" t="s">
        <v>85</v>
      </c>
      <c r="Q45" s="4">
        <v>44852</v>
      </c>
      <c r="R45" s="4">
        <v>44852</v>
      </c>
      <c r="S45" s="3">
        <v>-1243</v>
      </c>
      <c r="T45" s="5">
        <v>0</v>
      </c>
      <c r="U45" s="2" t="s">
        <v>20</v>
      </c>
      <c r="V45" s="5">
        <v>0</v>
      </c>
      <c r="W45" s="5">
        <v>0</v>
      </c>
      <c r="X45" s="5">
        <v>0</v>
      </c>
    </row>
    <row r="46" spans="1:24" outlineLevel="3">
      <c r="A46" s="2" t="s">
        <v>69</v>
      </c>
      <c r="B46" s="3">
        <v>444444520</v>
      </c>
      <c r="C46" s="3">
        <v>0</v>
      </c>
      <c r="D46" s="2" t="s">
        <v>70</v>
      </c>
      <c r="E46" s="2">
        <v>66182747</v>
      </c>
      <c r="F46" s="2" t="s">
        <v>71</v>
      </c>
      <c r="G46" s="2" t="s">
        <v>48</v>
      </c>
      <c r="H46" s="2" t="s">
        <v>28</v>
      </c>
      <c r="I46" s="2" t="s">
        <v>29</v>
      </c>
      <c r="J46" s="2" t="s">
        <v>30</v>
      </c>
      <c r="K46" s="2" t="s">
        <v>50</v>
      </c>
      <c r="L46" s="2" t="s">
        <v>51</v>
      </c>
      <c r="M46" s="2" t="s">
        <v>33</v>
      </c>
      <c r="N46" s="3">
        <v>0</v>
      </c>
      <c r="O46" s="2" t="s">
        <v>34</v>
      </c>
      <c r="P46" s="2" t="s">
        <v>86</v>
      </c>
      <c r="Q46" s="4">
        <v>44852</v>
      </c>
      <c r="R46" s="4">
        <v>44883</v>
      </c>
      <c r="S46" s="3">
        <v>-1213</v>
      </c>
      <c r="T46" s="5">
        <v>0</v>
      </c>
      <c r="U46" s="2" t="s">
        <v>20</v>
      </c>
      <c r="V46" s="5">
        <v>0</v>
      </c>
      <c r="W46" s="5">
        <v>0</v>
      </c>
      <c r="X46" s="5">
        <v>0</v>
      </c>
    </row>
    <row r="47" spans="1:24" outlineLevel="3">
      <c r="A47" s="2" t="s">
        <v>69</v>
      </c>
      <c r="B47" s="3">
        <v>444444520</v>
      </c>
      <c r="C47" s="3">
        <v>0</v>
      </c>
      <c r="D47" s="2" t="s">
        <v>70</v>
      </c>
      <c r="E47" s="2">
        <v>66182747</v>
      </c>
      <c r="F47" s="2" t="s">
        <v>71</v>
      </c>
      <c r="G47" s="2" t="s">
        <v>48</v>
      </c>
      <c r="H47" s="2" t="s">
        <v>28</v>
      </c>
      <c r="I47" s="2" t="s">
        <v>29</v>
      </c>
      <c r="J47" s="2" t="s">
        <v>30</v>
      </c>
      <c r="K47" s="2" t="s">
        <v>50</v>
      </c>
      <c r="L47" s="2" t="s">
        <v>51</v>
      </c>
      <c r="M47" s="2" t="s">
        <v>33</v>
      </c>
      <c r="N47" s="3">
        <v>0</v>
      </c>
      <c r="O47" s="2" t="s">
        <v>34</v>
      </c>
      <c r="P47" s="2" t="s">
        <v>87</v>
      </c>
      <c r="Q47" s="4">
        <v>45055</v>
      </c>
      <c r="R47" s="4">
        <v>45055</v>
      </c>
      <c r="S47" s="3">
        <v>-1042</v>
      </c>
      <c r="T47" s="5">
        <v>0</v>
      </c>
      <c r="U47" s="2" t="s">
        <v>20</v>
      </c>
      <c r="V47" s="5">
        <v>0</v>
      </c>
      <c r="W47" s="5">
        <v>0</v>
      </c>
      <c r="X47" s="5">
        <v>0</v>
      </c>
    </row>
    <row r="48" spans="1:24" outlineLevel="3">
      <c r="A48" s="2" t="s">
        <v>69</v>
      </c>
      <c r="B48" s="3">
        <v>444444520</v>
      </c>
      <c r="C48" s="3">
        <v>0</v>
      </c>
      <c r="D48" s="2" t="s">
        <v>70</v>
      </c>
      <c r="E48" s="2">
        <v>66182747</v>
      </c>
      <c r="F48" s="2" t="s">
        <v>71</v>
      </c>
      <c r="G48" s="2" t="s">
        <v>48</v>
      </c>
      <c r="H48" s="2" t="s">
        <v>28</v>
      </c>
      <c r="I48" s="2" t="s">
        <v>29</v>
      </c>
      <c r="J48" s="2" t="s">
        <v>30</v>
      </c>
      <c r="K48" s="2" t="s">
        <v>50</v>
      </c>
      <c r="L48" s="2" t="s">
        <v>51</v>
      </c>
      <c r="M48" s="2" t="s">
        <v>33</v>
      </c>
      <c r="N48" s="3">
        <v>0</v>
      </c>
      <c r="O48" s="2" t="s">
        <v>34</v>
      </c>
      <c r="P48" s="2" t="s">
        <v>88</v>
      </c>
      <c r="Q48" s="4">
        <v>45030</v>
      </c>
      <c r="R48" s="4">
        <v>45060</v>
      </c>
      <c r="S48" s="3">
        <v>-1037</v>
      </c>
      <c r="T48" s="5">
        <v>0</v>
      </c>
      <c r="U48" s="2" t="s">
        <v>20</v>
      </c>
      <c r="V48" s="5">
        <v>0</v>
      </c>
      <c r="W48" s="5">
        <v>0</v>
      </c>
      <c r="X48" s="5">
        <v>0</v>
      </c>
    </row>
    <row r="49" spans="1:24" outlineLevel="3">
      <c r="A49" s="2" t="s">
        <v>69</v>
      </c>
      <c r="B49" s="3">
        <v>444444520</v>
      </c>
      <c r="C49" s="3">
        <v>0</v>
      </c>
      <c r="D49" s="2" t="s">
        <v>70</v>
      </c>
      <c r="E49" s="2">
        <v>66182747</v>
      </c>
      <c r="F49" s="2" t="s">
        <v>71</v>
      </c>
      <c r="G49" s="2" t="s">
        <v>48</v>
      </c>
      <c r="H49" s="2" t="s">
        <v>28</v>
      </c>
      <c r="I49" s="2" t="s">
        <v>29</v>
      </c>
      <c r="J49" s="2" t="s">
        <v>30</v>
      </c>
      <c r="K49" s="2" t="s">
        <v>50</v>
      </c>
      <c r="L49" s="2" t="s">
        <v>51</v>
      </c>
      <c r="M49" s="2" t="s">
        <v>33</v>
      </c>
      <c r="N49" s="3">
        <v>0</v>
      </c>
      <c r="O49" s="2" t="s">
        <v>34</v>
      </c>
      <c r="P49" s="2" t="s">
        <v>89</v>
      </c>
      <c r="Q49" s="4">
        <v>45135</v>
      </c>
      <c r="R49" s="4">
        <v>45166</v>
      </c>
      <c r="S49" s="3">
        <v>-933</v>
      </c>
      <c r="T49" s="5">
        <v>0</v>
      </c>
      <c r="U49" s="2" t="s">
        <v>20</v>
      </c>
      <c r="V49" s="5">
        <v>0</v>
      </c>
      <c r="W49" s="5">
        <v>0</v>
      </c>
      <c r="X49" s="5">
        <v>0</v>
      </c>
    </row>
    <row r="50" spans="1:24" outlineLevel="3">
      <c r="A50" s="2" t="s">
        <v>69</v>
      </c>
      <c r="B50" s="3">
        <v>444444520</v>
      </c>
      <c r="C50" s="3">
        <v>0</v>
      </c>
      <c r="D50" s="2" t="s">
        <v>70</v>
      </c>
      <c r="E50" s="2">
        <v>66182747</v>
      </c>
      <c r="F50" s="2" t="s">
        <v>71</v>
      </c>
      <c r="G50" s="2" t="s">
        <v>48</v>
      </c>
      <c r="H50" s="2" t="s">
        <v>28</v>
      </c>
      <c r="I50" s="2" t="s">
        <v>29</v>
      </c>
      <c r="J50" s="2" t="s">
        <v>30</v>
      </c>
      <c r="K50" s="2" t="s">
        <v>50</v>
      </c>
      <c r="L50" s="2" t="s">
        <v>51</v>
      </c>
      <c r="M50" s="2" t="s">
        <v>33</v>
      </c>
      <c r="N50" s="3">
        <v>0</v>
      </c>
      <c r="O50" s="2" t="s">
        <v>34</v>
      </c>
      <c r="P50" s="2" t="s">
        <v>90</v>
      </c>
      <c r="Q50" s="4">
        <v>45197</v>
      </c>
      <c r="R50" s="4">
        <v>45227</v>
      </c>
      <c r="S50" s="3">
        <v>-873</v>
      </c>
      <c r="T50" s="5">
        <v>0</v>
      </c>
      <c r="U50" s="2" t="s">
        <v>20</v>
      </c>
      <c r="V50" s="5">
        <v>0</v>
      </c>
      <c r="W50" s="5">
        <v>0</v>
      </c>
      <c r="X50" s="5">
        <v>0</v>
      </c>
    </row>
    <row r="51" spans="1:24" outlineLevel="3">
      <c r="A51" s="2" t="s">
        <v>69</v>
      </c>
      <c r="B51" s="3">
        <v>444444520</v>
      </c>
      <c r="C51" s="3">
        <v>0</v>
      </c>
      <c r="D51" s="2" t="s">
        <v>70</v>
      </c>
      <c r="E51" s="2">
        <v>66182747</v>
      </c>
      <c r="F51" s="2" t="s">
        <v>71</v>
      </c>
      <c r="G51" s="2" t="s">
        <v>48</v>
      </c>
      <c r="H51" s="2" t="s">
        <v>28</v>
      </c>
      <c r="I51" s="2" t="s">
        <v>29</v>
      </c>
      <c r="J51" s="2" t="s">
        <v>30</v>
      </c>
      <c r="K51" s="2" t="s">
        <v>50</v>
      </c>
      <c r="L51" s="2" t="s">
        <v>51</v>
      </c>
      <c r="M51" s="2" t="s">
        <v>33</v>
      </c>
      <c r="N51" s="3">
        <v>0</v>
      </c>
      <c r="O51" s="2" t="s">
        <v>34</v>
      </c>
      <c r="P51" s="2" t="s">
        <v>91</v>
      </c>
      <c r="Q51" s="4">
        <v>45331</v>
      </c>
      <c r="R51" s="4">
        <v>45360</v>
      </c>
      <c r="S51" s="3">
        <v>-742</v>
      </c>
      <c r="T51" s="5">
        <v>0</v>
      </c>
      <c r="U51" s="2" t="s">
        <v>20</v>
      </c>
      <c r="V51" s="5">
        <v>0</v>
      </c>
      <c r="W51" s="5">
        <v>0</v>
      </c>
      <c r="X51" s="5">
        <v>0</v>
      </c>
    </row>
    <row r="52" spans="1:24" outlineLevel="3">
      <c r="A52" s="2" t="s">
        <v>69</v>
      </c>
      <c r="B52" s="3">
        <v>444444520</v>
      </c>
      <c r="C52" s="3">
        <v>0</v>
      </c>
      <c r="D52" s="2" t="s">
        <v>70</v>
      </c>
      <c r="E52" s="2">
        <v>66182747</v>
      </c>
      <c r="F52" s="2" t="s">
        <v>71</v>
      </c>
      <c r="G52" s="2" t="s">
        <v>48</v>
      </c>
      <c r="H52" s="2" t="s">
        <v>28</v>
      </c>
      <c r="I52" s="2" t="s">
        <v>29</v>
      </c>
      <c r="J52" s="2" t="s">
        <v>30</v>
      </c>
      <c r="K52" s="2" t="s">
        <v>50</v>
      </c>
      <c r="L52" s="2" t="s">
        <v>51</v>
      </c>
      <c r="M52" s="2" t="s">
        <v>33</v>
      </c>
      <c r="N52" s="3">
        <v>0</v>
      </c>
      <c r="O52" s="2" t="s">
        <v>34</v>
      </c>
      <c r="P52" s="2" t="s">
        <v>92</v>
      </c>
      <c r="Q52" s="4">
        <v>45335</v>
      </c>
      <c r="R52" s="4">
        <v>45364</v>
      </c>
      <c r="S52" s="3">
        <v>-738</v>
      </c>
      <c r="T52" s="5">
        <v>0</v>
      </c>
      <c r="U52" s="2" t="s">
        <v>20</v>
      </c>
      <c r="V52" s="5">
        <v>0</v>
      </c>
      <c r="W52" s="5">
        <v>0</v>
      </c>
      <c r="X52" s="5">
        <v>0</v>
      </c>
    </row>
    <row r="53" spans="1:24" outlineLevel="3">
      <c r="A53" s="2" t="s">
        <v>69</v>
      </c>
      <c r="B53" s="3">
        <v>444444520</v>
      </c>
      <c r="C53" s="3">
        <v>0</v>
      </c>
      <c r="D53" s="2" t="s">
        <v>70</v>
      </c>
      <c r="E53" s="2">
        <v>66182747</v>
      </c>
      <c r="F53" s="2" t="s">
        <v>71</v>
      </c>
      <c r="G53" s="2" t="s">
        <v>48</v>
      </c>
      <c r="H53" s="2" t="s">
        <v>28</v>
      </c>
      <c r="I53" s="2" t="s">
        <v>29</v>
      </c>
      <c r="J53" s="2" t="s">
        <v>30</v>
      </c>
      <c r="K53" s="2" t="s">
        <v>50</v>
      </c>
      <c r="L53" s="2" t="s">
        <v>51</v>
      </c>
      <c r="M53" s="2" t="s">
        <v>33</v>
      </c>
      <c r="N53" s="3">
        <v>0</v>
      </c>
      <c r="O53" s="2" t="s">
        <v>34</v>
      </c>
      <c r="P53" s="2" t="s">
        <v>93</v>
      </c>
      <c r="Q53" s="4">
        <v>45377</v>
      </c>
      <c r="R53" s="4">
        <v>45408</v>
      </c>
      <c r="S53" s="3">
        <v>-695</v>
      </c>
      <c r="T53" s="5">
        <v>0</v>
      </c>
      <c r="U53" s="2" t="s">
        <v>20</v>
      </c>
      <c r="V53" s="5">
        <v>0</v>
      </c>
      <c r="W53" s="5">
        <v>0</v>
      </c>
      <c r="X53" s="5">
        <v>0</v>
      </c>
    </row>
    <row r="54" spans="1:24" outlineLevel="3">
      <c r="A54" s="2" t="s">
        <v>69</v>
      </c>
      <c r="B54" s="3">
        <v>444444520</v>
      </c>
      <c r="C54" s="3">
        <v>0</v>
      </c>
      <c r="D54" s="2" t="s">
        <v>70</v>
      </c>
      <c r="E54" s="2">
        <v>66182747</v>
      </c>
      <c r="F54" s="2" t="s">
        <v>71</v>
      </c>
      <c r="G54" s="2" t="s">
        <v>48</v>
      </c>
      <c r="H54" s="2" t="s">
        <v>28</v>
      </c>
      <c r="I54" s="2" t="s">
        <v>29</v>
      </c>
      <c r="J54" s="2" t="s">
        <v>30</v>
      </c>
      <c r="K54" s="2" t="s">
        <v>50</v>
      </c>
      <c r="L54" s="2" t="s">
        <v>51</v>
      </c>
      <c r="M54" s="2" t="s">
        <v>33</v>
      </c>
      <c r="N54" s="3">
        <v>0</v>
      </c>
      <c r="O54" s="2" t="s">
        <v>34</v>
      </c>
      <c r="P54" s="2" t="s">
        <v>94</v>
      </c>
      <c r="Q54" s="4">
        <v>45447</v>
      </c>
      <c r="R54" s="4">
        <v>45477</v>
      </c>
      <c r="S54" s="3">
        <v>-627</v>
      </c>
      <c r="T54" s="5">
        <v>0</v>
      </c>
      <c r="U54" s="2" t="s">
        <v>20</v>
      </c>
      <c r="V54" s="5">
        <v>0</v>
      </c>
      <c r="W54" s="5">
        <v>0</v>
      </c>
      <c r="X54" s="5">
        <v>0</v>
      </c>
    </row>
    <row r="55" spans="1:24" outlineLevel="3">
      <c r="A55" s="2" t="s">
        <v>69</v>
      </c>
      <c r="B55" s="3">
        <v>444444520</v>
      </c>
      <c r="C55" s="3">
        <v>0</v>
      </c>
      <c r="D55" s="2" t="s">
        <v>70</v>
      </c>
      <c r="E55" s="2">
        <v>66182747</v>
      </c>
      <c r="F55" s="2" t="s">
        <v>71</v>
      </c>
      <c r="G55" s="2" t="s">
        <v>48</v>
      </c>
      <c r="H55" s="2" t="s">
        <v>28</v>
      </c>
      <c r="I55" s="2" t="s">
        <v>29</v>
      </c>
      <c r="J55" s="2" t="s">
        <v>30</v>
      </c>
      <c r="K55" s="2" t="s">
        <v>50</v>
      </c>
      <c r="L55" s="2" t="s">
        <v>51</v>
      </c>
      <c r="M55" s="2" t="s">
        <v>33</v>
      </c>
      <c r="N55" s="3">
        <v>0</v>
      </c>
      <c r="O55" s="2" t="s">
        <v>34</v>
      </c>
      <c r="P55" s="2" t="s">
        <v>95</v>
      </c>
      <c r="Q55" s="4">
        <v>45531</v>
      </c>
      <c r="R55" s="4">
        <v>45562</v>
      </c>
      <c r="S55" s="3">
        <v>-544</v>
      </c>
      <c r="T55" s="5">
        <v>0</v>
      </c>
      <c r="U55" s="2" t="s">
        <v>20</v>
      </c>
      <c r="V55" s="5">
        <v>0</v>
      </c>
      <c r="W55" s="5">
        <v>0</v>
      </c>
      <c r="X55" s="5">
        <v>0</v>
      </c>
    </row>
    <row r="56" spans="1:24" outlineLevel="3">
      <c r="A56" s="2" t="s">
        <v>69</v>
      </c>
      <c r="B56" s="3">
        <v>444444520</v>
      </c>
      <c r="C56" s="3">
        <v>0</v>
      </c>
      <c r="D56" s="2" t="s">
        <v>70</v>
      </c>
      <c r="E56" s="2">
        <v>66182747</v>
      </c>
      <c r="F56" s="2" t="s">
        <v>71</v>
      </c>
      <c r="G56" s="2" t="s">
        <v>48</v>
      </c>
      <c r="H56" s="2" t="s">
        <v>28</v>
      </c>
      <c r="I56" s="2" t="s">
        <v>29</v>
      </c>
      <c r="J56" s="2" t="s">
        <v>30</v>
      </c>
      <c r="K56" s="2" t="s">
        <v>50</v>
      </c>
      <c r="L56" s="2" t="s">
        <v>51</v>
      </c>
      <c r="M56" s="2" t="s">
        <v>33</v>
      </c>
      <c r="N56" s="3">
        <v>0</v>
      </c>
      <c r="O56" s="2" t="s">
        <v>34</v>
      </c>
      <c r="P56" s="2" t="s">
        <v>96</v>
      </c>
      <c r="Q56" s="4">
        <v>45576</v>
      </c>
      <c r="R56" s="4">
        <v>45607</v>
      </c>
      <c r="S56" s="3">
        <v>-500</v>
      </c>
      <c r="T56" s="5">
        <v>0</v>
      </c>
      <c r="U56" s="2" t="s">
        <v>20</v>
      </c>
      <c r="V56" s="5">
        <v>0</v>
      </c>
      <c r="W56" s="5">
        <v>0</v>
      </c>
      <c r="X56" s="5">
        <v>0</v>
      </c>
    </row>
    <row r="57" spans="1:24" outlineLevel="3">
      <c r="A57" s="2" t="s">
        <v>69</v>
      </c>
      <c r="B57" s="3">
        <v>444444520</v>
      </c>
      <c r="C57" s="3">
        <v>0</v>
      </c>
      <c r="D57" s="2" t="s">
        <v>70</v>
      </c>
      <c r="E57" s="2">
        <v>66182747</v>
      </c>
      <c r="F57" s="2" t="s">
        <v>71</v>
      </c>
      <c r="G57" s="2" t="s">
        <v>48</v>
      </c>
      <c r="H57" s="2" t="s">
        <v>28</v>
      </c>
      <c r="I57" s="2" t="s">
        <v>29</v>
      </c>
      <c r="J57" s="2" t="s">
        <v>30</v>
      </c>
      <c r="K57" s="2" t="s">
        <v>50</v>
      </c>
      <c r="L57" s="2" t="s">
        <v>51</v>
      </c>
      <c r="M57" s="2" t="s">
        <v>33</v>
      </c>
      <c r="N57" s="3">
        <v>0</v>
      </c>
      <c r="O57" s="2" t="s">
        <v>34</v>
      </c>
      <c r="P57" s="2" t="s">
        <v>97</v>
      </c>
      <c r="Q57" s="4">
        <v>45650</v>
      </c>
      <c r="R57" s="4">
        <v>45650</v>
      </c>
      <c r="S57" s="3">
        <v>-457</v>
      </c>
      <c r="T57" s="5">
        <v>0</v>
      </c>
      <c r="U57" s="2" t="s">
        <v>20</v>
      </c>
      <c r="V57" s="5">
        <v>0</v>
      </c>
      <c r="W57" s="5">
        <v>0</v>
      </c>
      <c r="X57" s="5">
        <v>0</v>
      </c>
    </row>
    <row r="58" spans="1:24" outlineLevel="3">
      <c r="A58" s="2" t="s">
        <v>69</v>
      </c>
      <c r="B58" s="3">
        <v>444444520</v>
      </c>
      <c r="C58" s="3">
        <v>0</v>
      </c>
      <c r="D58" s="2" t="s">
        <v>70</v>
      </c>
      <c r="E58" s="2">
        <v>66182747</v>
      </c>
      <c r="F58" s="2" t="s">
        <v>71</v>
      </c>
      <c r="G58" s="2" t="s">
        <v>48</v>
      </c>
      <c r="H58" s="2" t="s">
        <v>28</v>
      </c>
      <c r="I58" s="2" t="s">
        <v>29</v>
      </c>
      <c r="J58" s="2" t="s">
        <v>30</v>
      </c>
      <c r="K58" s="2" t="s">
        <v>50</v>
      </c>
      <c r="L58" s="2" t="s">
        <v>51</v>
      </c>
      <c r="M58" s="2" t="s">
        <v>33</v>
      </c>
      <c r="N58" s="3">
        <v>0</v>
      </c>
      <c r="O58" s="2" t="s">
        <v>34</v>
      </c>
      <c r="P58" s="2" t="s">
        <v>98</v>
      </c>
      <c r="Q58" s="4">
        <v>45644</v>
      </c>
      <c r="R58" s="4">
        <v>45675</v>
      </c>
      <c r="S58" s="3">
        <v>-433</v>
      </c>
      <c r="T58" s="5">
        <v>0</v>
      </c>
      <c r="U58" s="2" t="s">
        <v>20</v>
      </c>
      <c r="V58" s="5">
        <v>0</v>
      </c>
      <c r="W58" s="5">
        <v>0</v>
      </c>
      <c r="X58" s="5">
        <v>0</v>
      </c>
    </row>
    <row r="59" spans="1:24" outlineLevel="3">
      <c r="A59" s="2" t="s">
        <v>69</v>
      </c>
      <c r="B59" s="3">
        <v>444444520</v>
      </c>
      <c r="C59" s="3">
        <v>0</v>
      </c>
      <c r="D59" s="2" t="s">
        <v>70</v>
      </c>
      <c r="E59" s="2">
        <v>66182747</v>
      </c>
      <c r="F59" s="2" t="s">
        <v>71</v>
      </c>
      <c r="G59" s="2" t="s">
        <v>48</v>
      </c>
      <c r="H59" s="2" t="s">
        <v>28</v>
      </c>
      <c r="I59" s="2" t="s">
        <v>29</v>
      </c>
      <c r="J59" s="2" t="s">
        <v>30</v>
      </c>
      <c r="K59" s="2" t="s">
        <v>50</v>
      </c>
      <c r="L59" s="2" t="s">
        <v>51</v>
      </c>
      <c r="M59" s="2" t="s">
        <v>33</v>
      </c>
      <c r="N59" s="3">
        <v>0</v>
      </c>
      <c r="O59" s="2" t="s">
        <v>34</v>
      </c>
      <c r="P59" s="2" t="s">
        <v>99</v>
      </c>
      <c r="Q59" s="4">
        <v>45650</v>
      </c>
      <c r="R59" s="4">
        <v>45681</v>
      </c>
      <c r="S59" s="3">
        <v>-427</v>
      </c>
      <c r="T59" s="5">
        <v>0</v>
      </c>
      <c r="U59" s="2" t="s">
        <v>20</v>
      </c>
      <c r="V59" s="5">
        <v>0</v>
      </c>
      <c r="W59" s="5">
        <v>0</v>
      </c>
      <c r="X59" s="5">
        <v>0</v>
      </c>
    </row>
    <row r="60" spans="1:24" outlineLevel="3">
      <c r="A60" s="2" t="s">
        <v>69</v>
      </c>
      <c r="B60" s="3">
        <v>444444520</v>
      </c>
      <c r="C60" s="3">
        <v>0</v>
      </c>
      <c r="D60" s="2" t="s">
        <v>70</v>
      </c>
      <c r="E60" s="2">
        <v>66182747</v>
      </c>
      <c r="F60" s="2" t="s">
        <v>71</v>
      </c>
      <c r="G60" s="2" t="s">
        <v>48</v>
      </c>
      <c r="H60" s="2" t="s">
        <v>28</v>
      </c>
      <c r="I60" s="2" t="s">
        <v>29</v>
      </c>
      <c r="J60" s="2" t="s">
        <v>30</v>
      </c>
      <c r="K60" s="2" t="s">
        <v>50</v>
      </c>
      <c r="L60" s="2" t="s">
        <v>51</v>
      </c>
      <c r="M60" s="2" t="s">
        <v>33</v>
      </c>
      <c r="N60" s="3">
        <v>0</v>
      </c>
      <c r="O60" s="2" t="s">
        <v>34</v>
      </c>
      <c r="P60" s="2" t="s">
        <v>100</v>
      </c>
      <c r="Q60" s="4">
        <v>45686</v>
      </c>
      <c r="R60" s="4">
        <v>45716</v>
      </c>
      <c r="S60" s="3">
        <v>-393</v>
      </c>
      <c r="T60" s="5">
        <v>0</v>
      </c>
      <c r="U60" s="2" t="s">
        <v>20</v>
      </c>
      <c r="V60" s="5">
        <v>0</v>
      </c>
      <c r="W60" s="5">
        <v>0</v>
      </c>
      <c r="X60" s="5">
        <v>0</v>
      </c>
    </row>
    <row r="61" spans="1:24" outlineLevel="3">
      <c r="A61" s="2" t="s">
        <v>69</v>
      </c>
      <c r="B61" s="3">
        <v>444444520</v>
      </c>
      <c r="C61" s="3">
        <v>0</v>
      </c>
      <c r="D61" s="2" t="s">
        <v>70</v>
      </c>
      <c r="E61" s="2">
        <v>66182747</v>
      </c>
      <c r="F61" s="2" t="s">
        <v>71</v>
      </c>
      <c r="G61" s="2" t="s">
        <v>48</v>
      </c>
      <c r="H61" s="2" t="s">
        <v>28</v>
      </c>
      <c r="I61" s="2" t="s">
        <v>29</v>
      </c>
      <c r="J61" s="2" t="s">
        <v>30</v>
      </c>
      <c r="K61" s="2" t="s">
        <v>50</v>
      </c>
      <c r="L61" s="2" t="s">
        <v>51</v>
      </c>
      <c r="M61" s="2" t="s">
        <v>33</v>
      </c>
      <c r="N61" s="3">
        <v>0</v>
      </c>
      <c r="O61" s="2" t="s">
        <v>34</v>
      </c>
      <c r="P61" s="2" t="s">
        <v>101</v>
      </c>
      <c r="Q61" s="4">
        <v>45688</v>
      </c>
      <c r="R61" s="4">
        <v>45716</v>
      </c>
      <c r="S61" s="3">
        <v>-393</v>
      </c>
      <c r="T61" s="5">
        <v>0</v>
      </c>
      <c r="U61" s="2" t="s">
        <v>20</v>
      </c>
      <c r="V61" s="5">
        <v>0</v>
      </c>
      <c r="W61" s="5">
        <v>0</v>
      </c>
      <c r="X61" s="5">
        <v>0</v>
      </c>
    </row>
    <row r="62" spans="1:24" outlineLevel="3">
      <c r="A62" s="2" t="s">
        <v>69</v>
      </c>
      <c r="B62" s="3">
        <v>444444520</v>
      </c>
      <c r="C62" s="3">
        <v>0</v>
      </c>
      <c r="D62" s="2" t="s">
        <v>70</v>
      </c>
      <c r="E62" s="2">
        <v>66182747</v>
      </c>
      <c r="F62" s="2" t="s">
        <v>71</v>
      </c>
      <c r="G62" s="2" t="s">
        <v>48</v>
      </c>
      <c r="H62" s="2" t="s">
        <v>28</v>
      </c>
      <c r="I62" s="2" t="s">
        <v>29</v>
      </c>
      <c r="J62" s="2" t="s">
        <v>30</v>
      </c>
      <c r="K62" s="2" t="s">
        <v>50</v>
      </c>
      <c r="L62" s="2" t="s">
        <v>51</v>
      </c>
      <c r="M62" s="2" t="s">
        <v>33</v>
      </c>
      <c r="N62" s="3">
        <v>0</v>
      </c>
      <c r="O62" s="2" t="s">
        <v>34</v>
      </c>
      <c r="P62" s="2" t="s">
        <v>102</v>
      </c>
      <c r="Q62" s="4">
        <v>45777</v>
      </c>
      <c r="R62" s="4">
        <v>45807</v>
      </c>
      <c r="S62" s="3">
        <v>-301</v>
      </c>
      <c r="T62" s="5">
        <v>0</v>
      </c>
      <c r="U62" s="2" t="s">
        <v>20</v>
      </c>
      <c r="V62" s="5">
        <v>0</v>
      </c>
      <c r="W62" s="5">
        <v>0</v>
      </c>
      <c r="X62" s="5">
        <v>0</v>
      </c>
    </row>
    <row r="63" spans="1:24" outlineLevel="3">
      <c r="A63" s="2" t="s">
        <v>69</v>
      </c>
      <c r="B63" s="3">
        <v>444444520</v>
      </c>
      <c r="C63" s="3">
        <v>0</v>
      </c>
      <c r="D63" s="2" t="s">
        <v>70</v>
      </c>
      <c r="E63" s="2">
        <v>66182747</v>
      </c>
      <c r="F63" s="2" t="s">
        <v>71</v>
      </c>
      <c r="G63" s="2" t="s">
        <v>48</v>
      </c>
      <c r="H63" s="2" t="s">
        <v>28</v>
      </c>
      <c r="I63" s="2" t="s">
        <v>29</v>
      </c>
      <c r="J63" s="2" t="s">
        <v>30</v>
      </c>
      <c r="K63" s="2" t="s">
        <v>50</v>
      </c>
      <c r="L63" s="2" t="s">
        <v>51</v>
      </c>
      <c r="M63" s="2" t="s">
        <v>33</v>
      </c>
      <c r="N63" s="3">
        <v>0</v>
      </c>
      <c r="O63" s="2" t="s">
        <v>34</v>
      </c>
      <c r="P63" s="2" t="s">
        <v>103</v>
      </c>
      <c r="Q63" s="4">
        <v>45832</v>
      </c>
      <c r="R63" s="4">
        <v>45862</v>
      </c>
      <c r="S63" s="3">
        <v>-247</v>
      </c>
      <c r="T63" s="5">
        <v>0</v>
      </c>
      <c r="U63" s="2" t="s">
        <v>20</v>
      </c>
      <c r="V63" s="5">
        <v>0</v>
      </c>
      <c r="W63" s="5">
        <v>0</v>
      </c>
      <c r="X63" s="5">
        <v>0</v>
      </c>
    </row>
    <row r="64" spans="1:24" outlineLevel="3">
      <c r="A64" s="2" t="s">
        <v>69</v>
      </c>
      <c r="B64" s="3">
        <v>444444520</v>
      </c>
      <c r="C64" s="3">
        <v>0</v>
      </c>
      <c r="D64" s="2" t="s">
        <v>70</v>
      </c>
      <c r="E64" s="2">
        <v>66182747</v>
      </c>
      <c r="F64" s="2" t="s">
        <v>71</v>
      </c>
      <c r="G64" s="2" t="s">
        <v>48</v>
      </c>
      <c r="H64" s="2" t="s">
        <v>28</v>
      </c>
      <c r="I64" s="2" t="s">
        <v>29</v>
      </c>
      <c r="J64" s="2" t="s">
        <v>30</v>
      </c>
      <c r="K64" s="2" t="s">
        <v>50</v>
      </c>
      <c r="L64" s="2" t="s">
        <v>51</v>
      </c>
      <c r="M64" s="2" t="s">
        <v>33</v>
      </c>
      <c r="N64" s="3">
        <v>0</v>
      </c>
      <c r="O64" s="2" t="s">
        <v>34</v>
      </c>
      <c r="P64" s="2" t="s">
        <v>104</v>
      </c>
      <c r="Q64" s="4">
        <v>45884</v>
      </c>
      <c r="R64" s="4">
        <v>45884</v>
      </c>
      <c r="S64" s="3">
        <v>-226</v>
      </c>
      <c r="T64" s="5">
        <v>0</v>
      </c>
      <c r="U64" s="2" t="s">
        <v>20</v>
      </c>
      <c r="V64" s="5">
        <v>0</v>
      </c>
      <c r="W64" s="5">
        <v>0</v>
      </c>
      <c r="X64" s="5">
        <v>0</v>
      </c>
    </row>
    <row r="65" spans="1:24" outlineLevel="3">
      <c r="A65" s="2" t="s">
        <v>69</v>
      </c>
      <c r="B65" s="3">
        <v>444444520</v>
      </c>
      <c r="C65" s="3">
        <v>0</v>
      </c>
      <c r="D65" s="2" t="s">
        <v>70</v>
      </c>
      <c r="E65" s="2">
        <v>66182747</v>
      </c>
      <c r="F65" s="2" t="s">
        <v>71</v>
      </c>
      <c r="G65" s="2" t="s">
        <v>48</v>
      </c>
      <c r="H65" s="2" t="s">
        <v>28</v>
      </c>
      <c r="I65" s="2" t="s">
        <v>29</v>
      </c>
      <c r="J65" s="2" t="s">
        <v>30</v>
      </c>
      <c r="K65" s="2" t="s">
        <v>50</v>
      </c>
      <c r="L65" s="2" t="s">
        <v>51</v>
      </c>
      <c r="M65" s="2" t="s">
        <v>33</v>
      </c>
      <c r="N65" s="3">
        <v>0</v>
      </c>
      <c r="O65" s="2" t="s">
        <v>34</v>
      </c>
      <c r="P65" s="2" t="s">
        <v>105</v>
      </c>
      <c r="Q65" s="4">
        <v>45908</v>
      </c>
      <c r="R65" s="4">
        <v>45908</v>
      </c>
      <c r="S65" s="3">
        <v>-203</v>
      </c>
      <c r="T65" s="5">
        <v>0</v>
      </c>
      <c r="U65" s="2" t="s">
        <v>20</v>
      </c>
      <c r="V65" s="5">
        <v>0</v>
      </c>
      <c r="W65" s="5">
        <v>0</v>
      </c>
      <c r="X65" s="5">
        <v>0</v>
      </c>
    </row>
    <row r="66" spans="1:24" outlineLevel="3">
      <c r="A66" s="2" t="s">
        <v>69</v>
      </c>
      <c r="B66" s="3">
        <v>444444520</v>
      </c>
      <c r="C66" s="3">
        <v>0</v>
      </c>
      <c r="D66" s="2" t="s">
        <v>70</v>
      </c>
      <c r="E66" s="2">
        <v>66182747</v>
      </c>
      <c r="F66" s="2" t="s">
        <v>71</v>
      </c>
      <c r="G66" s="2" t="s">
        <v>48</v>
      </c>
      <c r="H66" s="2" t="s">
        <v>28</v>
      </c>
      <c r="I66" s="2" t="s">
        <v>29</v>
      </c>
      <c r="J66" s="2" t="s">
        <v>30</v>
      </c>
      <c r="K66" s="2" t="s">
        <v>50</v>
      </c>
      <c r="L66" s="2" t="s">
        <v>51</v>
      </c>
      <c r="M66" s="2" t="s">
        <v>33</v>
      </c>
      <c r="N66" s="3">
        <v>0</v>
      </c>
      <c r="O66" s="2" t="s">
        <v>34</v>
      </c>
      <c r="P66" s="2" t="s">
        <v>106</v>
      </c>
      <c r="Q66" s="4">
        <v>45896</v>
      </c>
      <c r="R66" s="4">
        <v>45927</v>
      </c>
      <c r="S66" s="3">
        <v>-184</v>
      </c>
      <c r="T66" s="5">
        <v>0</v>
      </c>
      <c r="U66" s="2" t="s">
        <v>20</v>
      </c>
      <c r="V66" s="5">
        <v>0</v>
      </c>
      <c r="W66" s="5">
        <v>0</v>
      </c>
      <c r="X66" s="5">
        <v>0</v>
      </c>
    </row>
    <row r="67" spans="1:24" outlineLevel="3">
      <c r="A67" s="2" t="s">
        <v>69</v>
      </c>
      <c r="B67" s="3">
        <v>444444520</v>
      </c>
      <c r="C67" s="3">
        <v>0</v>
      </c>
      <c r="D67" s="2" t="s">
        <v>70</v>
      </c>
      <c r="E67" s="2">
        <v>66182747</v>
      </c>
      <c r="F67" s="2" t="s">
        <v>71</v>
      </c>
      <c r="G67" s="2" t="s">
        <v>48</v>
      </c>
      <c r="H67" s="2" t="s">
        <v>28</v>
      </c>
      <c r="I67" s="2" t="s">
        <v>29</v>
      </c>
      <c r="J67" s="2" t="s">
        <v>30</v>
      </c>
      <c r="K67" s="2" t="s">
        <v>50</v>
      </c>
      <c r="L67" s="2" t="s">
        <v>51</v>
      </c>
      <c r="M67" s="2" t="s">
        <v>33</v>
      </c>
      <c r="N67" s="3">
        <v>0</v>
      </c>
      <c r="O67" s="2" t="s">
        <v>34</v>
      </c>
      <c r="P67" s="2" t="s">
        <v>107</v>
      </c>
      <c r="Q67" s="4">
        <v>45922</v>
      </c>
      <c r="R67" s="4">
        <v>45952</v>
      </c>
      <c r="S67" s="3">
        <v>-159</v>
      </c>
      <c r="T67" s="5">
        <v>0</v>
      </c>
      <c r="U67" s="2" t="s">
        <v>20</v>
      </c>
      <c r="V67" s="5">
        <v>0</v>
      </c>
      <c r="W67" s="5">
        <v>0</v>
      </c>
      <c r="X67" s="5">
        <v>0</v>
      </c>
    </row>
    <row r="68" spans="1:24" outlineLevel="3">
      <c r="A68" s="2" t="s">
        <v>69</v>
      </c>
      <c r="B68" s="3">
        <v>444444520</v>
      </c>
      <c r="C68" s="3">
        <v>0</v>
      </c>
      <c r="D68" s="2" t="s">
        <v>70</v>
      </c>
      <c r="E68" s="2">
        <v>66182747</v>
      </c>
      <c r="F68" s="2" t="s">
        <v>71</v>
      </c>
      <c r="G68" s="2" t="s">
        <v>48</v>
      </c>
      <c r="H68" s="2" t="s">
        <v>28</v>
      </c>
      <c r="I68" s="2" t="s">
        <v>29</v>
      </c>
      <c r="J68" s="2" t="s">
        <v>108</v>
      </c>
      <c r="K68" s="2" t="s">
        <v>50</v>
      </c>
      <c r="L68" s="2" t="s">
        <v>51</v>
      </c>
      <c r="M68" s="2" t="s">
        <v>33</v>
      </c>
      <c r="N68" s="3">
        <v>0</v>
      </c>
      <c r="O68" s="2" t="s">
        <v>34</v>
      </c>
      <c r="P68" s="2" t="s">
        <v>109</v>
      </c>
      <c r="Q68" s="4">
        <v>45989</v>
      </c>
      <c r="R68" s="4">
        <v>46019</v>
      </c>
      <c r="S68" s="3">
        <v>-93</v>
      </c>
      <c r="T68" s="5">
        <v>0</v>
      </c>
      <c r="U68" s="2" t="s">
        <v>20</v>
      </c>
      <c r="V68" s="5">
        <v>0</v>
      </c>
      <c r="W68" s="5">
        <v>0</v>
      </c>
      <c r="X68" s="5">
        <v>0</v>
      </c>
    </row>
    <row r="69" spans="1:24" outlineLevel="3">
      <c r="A69" s="2" t="s">
        <v>69</v>
      </c>
      <c r="B69" s="3">
        <v>444444520</v>
      </c>
      <c r="C69" s="3">
        <v>0</v>
      </c>
      <c r="D69" s="2" t="s">
        <v>70</v>
      </c>
      <c r="E69" s="2">
        <v>66182747</v>
      </c>
      <c r="F69" s="2" t="s">
        <v>71</v>
      </c>
      <c r="G69" s="2" t="s">
        <v>48</v>
      </c>
      <c r="H69" s="2" t="s">
        <v>28</v>
      </c>
      <c r="I69" s="2" t="s">
        <v>29</v>
      </c>
      <c r="J69" s="2" t="s">
        <v>30</v>
      </c>
      <c r="K69" s="2" t="s">
        <v>50</v>
      </c>
      <c r="L69" s="2" t="s">
        <v>51</v>
      </c>
      <c r="M69" s="2" t="s">
        <v>33</v>
      </c>
      <c r="N69" s="3">
        <v>0</v>
      </c>
      <c r="O69" s="2" t="s">
        <v>34</v>
      </c>
      <c r="P69" s="2" t="s">
        <v>110</v>
      </c>
      <c r="Q69" s="4">
        <v>46062</v>
      </c>
      <c r="R69" s="4">
        <v>46090</v>
      </c>
      <c r="S69" s="3">
        <v>-22</v>
      </c>
      <c r="T69" s="5">
        <v>0</v>
      </c>
      <c r="U69" s="2" t="s">
        <v>20</v>
      </c>
      <c r="V69" s="5">
        <v>0</v>
      </c>
      <c r="W69" s="5">
        <v>0</v>
      </c>
      <c r="X69" s="5">
        <v>0</v>
      </c>
    </row>
    <row r="70" spans="1:24" outlineLevel="2">
      <c r="M70" s="14" t="s">
        <v>346</v>
      </c>
      <c r="T70" s="5">
        <f>SUBTOTAL(9,T32:T69)</f>
        <v>0</v>
      </c>
      <c r="V70" s="5">
        <f>SUBTOTAL(9,V32:V69)</f>
        <v>0</v>
      </c>
      <c r="W70" s="5">
        <f>SUBTOTAL(9,W32:W69)</f>
        <v>0</v>
      </c>
    </row>
    <row r="71" spans="1:24" outlineLevel="1">
      <c r="A71" s="14" t="s">
        <v>325</v>
      </c>
      <c r="T71" s="5">
        <f>SUBTOTAL(9,T32:T69)</f>
        <v>0</v>
      </c>
      <c r="V71" s="5">
        <f>SUBTOTAL(9,V32:V69)</f>
        <v>0</v>
      </c>
      <c r="W71" s="5">
        <f>SUBTOTAL(9,W32:W69)</f>
        <v>0</v>
      </c>
    </row>
    <row r="72" spans="1:24" outlineLevel="3">
      <c r="A72" s="2" t="s">
        <v>111</v>
      </c>
      <c r="B72" s="3">
        <v>444444522</v>
      </c>
      <c r="C72" s="3">
        <v>0</v>
      </c>
      <c r="D72" s="2" t="s">
        <v>112</v>
      </c>
      <c r="E72" s="2">
        <v>22620571</v>
      </c>
      <c r="F72" s="2" t="s">
        <v>113</v>
      </c>
      <c r="G72" s="2" t="s">
        <v>63</v>
      </c>
      <c r="H72" s="2" t="s">
        <v>28</v>
      </c>
      <c r="I72" s="2" t="s">
        <v>29</v>
      </c>
      <c r="J72" s="2" t="s">
        <v>30</v>
      </c>
      <c r="K72" s="2" t="s">
        <v>50</v>
      </c>
      <c r="L72" s="2" t="s">
        <v>51</v>
      </c>
      <c r="M72" s="2" t="s">
        <v>33</v>
      </c>
      <c r="N72" s="3">
        <v>0</v>
      </c>
      <c r="O72" s="2" t="s">
        <v>34</v>
      </c>
      <c r="P72" s="2" t="s">
        <v>114</v>
      </c>
      <c r="Q72" s="4">
        <v>45223</v>
      </c>
      <c r="R72" s="4">
        <v>45283</v>
      </c>
      <c r="S72" s="3">
        <v>-818</v>
      </c>
      <c r="T72" s="5">
        <v>0</v>
      </c>
      <c r="U72" s="2" t="s">
        <v>20</v>
      </c>
      <c r="V72" s="5">
        <v>0</v>
      </c>
      <c r="W72" s="5">
        <v>0</v>
      </c>
      <c r="X72" s="5">
        <v>0</v>
      </c>
    </row>
    <row r="73" spans="1:24" outlineLevel="3">
      <c r="A73" s="2" t="s">
        <v>111</v>
      </c>
      <c r="B73" s="3">
        <v>444444522</v>
      </c>
      <c r="C73" s="3">
        <v>0</v>
      </c>
      <c r="D73" s="2" t="s">
        <v>112</v>
      </c>
      <c r="E73" s="2">
        <v>22620571</v>
      </c>
      <c r="F73" s="2" t="s">
        <v>113</v>
      </c>
      <c r="G73" s="2" t="s">
        <v>63</v>
      </c>
      <c r="H73" s="2" t="s">
        <v>28</v>
      </c>
      <c r="I73" s="2" t="s">
        <v>29</v>
      </c>
      <c r="J73" s="2" t="s">
        <v>30</v>
      </c>
      <c r="K73" s="2" t="s">
        <v>50</v>
      </c>
      <c r="L73" s="2" t="s">
        <v>51</v>
      </c>
      <c r="M73" s="2" t="s">
        <v>33</v>
      </c>
      <c r="N73" s="3">
        <v>0</v>
      </c>
      <c r="O73" s="2" t="s">
        <v>34</v>
      </c>
      <c r="P73" s="2" t="s">
        <v>115</v>
      </c>
      <c r="Q73" s="4">
        <v>45306</v>
      </c>
      <c r="R73" s="4">
        <v>45365</v>
      </c>
      <c r="S73" s="3">
        <v>-737</v>
      </c>
      <c r="T73" s="5">
        <v>0</v>
      </c>
      <c r="U73" s="2" t="s">
        <v>20</v>
      </c>
      <c r="V73" s="5">
        <v>0</v>
      </c>
      <c r="W73" s="5">
        <v>0</v>
      </c>
      <c r="X73" s="5">
        <v>0</v>
      </c>
    </row>
    <row r="74" spans="1:24" outlineLevel="3">
      <c r="A74" s="2" t="s">
        <v>111</v>
      </c>
      <c r="B74" s="3">
        <v>444444522</v>
      </c>
      <c r="C74" s="3">
        <v>0</v>
      </c>
      <c r="D74" s="2" t="s">
        <v>112</v>
      </c>
      <c r="E74" s="2">
        <v>22620571</v>
      </c>
      <c r="F74" s="2" t="s">
        <v>113</v>
      </c>
      <c r="G74" s="2" t="s">
        <v>63</v>
      </c>
      <c r="H74" s="2" t="s">
        <v>28</v>
      </c>
      <c r="I74" s="2" t="s">
        <v>29</v>
      </c>
      <c r="J74" s="2" t="s">
        <v>30</v>
      </c>
      <c r="K74" s="2" t="s">
        <v>50</v>
      </c>
      <c r="L74" s="2" t="s">
        <v>51</v>
      </c>
      <c r="M74" s="2" t="s">
        <v>33</v>
      </c>
      <c r="N74" s="3">
        <v>0</v>
      </c>
      <c r="O74" s="2" t="s">
        <v>34</v>
      </c>
      <c r="P74" s="2" t="s">
        <v>116</v>
      </c>
      <c r="Q74" s="4">
        <v>45344</v>
      </c>
      <c r="R74" s="4">
        <v>45403</v>
      </c>
      <c r="S74" s="3">
        <v>-700</v>
      </c>
      <c r="T74" s="5">
        <v>0</v>
      </c>
      <c r="U74" s="2" t="s">
        <v>20</v>
      </c>
      <c r="V74" s="5">
        <v>0</v>
      </c>
      <c r="W74" s="5">
        <v>0</v>
      </c>
      <c r="X74" s="5">
        <v>0</v>
      </c>
    </row>
    <row r="75" spans="1:24" outlineLevel="3">
      <c r="A75" s="2" t="s">
        <v>111</v>
      </c>
      <c r="B75" s="3">
        <v>444444522</v>
      </c>
      <c r="C75" s="3">
        <v>0</v>
      </c>
      <c r="D75" s="2" t="s">
        <v>112</v>
      </c>
      <c r="E75" s="2">
        <v>22620571</v>
      </c>
      <c r="F75" s="2" t="s">
        <v>113</v>
      </c>
      <c r="G75" s="2" t="s">
        <v>63</v>
      </c>
      <c r="H75" s="2" t="s">
        <v>28</v>
      </c>
      <c r="I75" s="2" t="s">
        <v>29</v>
      </c>
      <c r="J75" s="2" t="s">
        <v>30</v>
      </c>
      <c r="K75" s="2" t="s">
        <v>50</v>
      </c>
      <c r="L75" s="2" t="s">
        <v>51</v>
      </c>
      <c r="M75" s="2" t="s">
        <v>33</v>
      </c>
      <c r="N75" s="3">
        <v>0</v>
      </c>
      <c r="O75" s="2" t="s">
        <v>34</v>
      </c>
      <c r="P75" s="2" t="s">
        <v>117</v>
      </c>
      <c r="Q75" s="4">
        <v>45468</v>
      </c>
      <c r="R75" s="4">
        <v>45528</v>
      </c>
      <c r="S75" s="3">
        <v>-577</v>
      </c>
      <c r="T75" s="5">
        <v>0</v>
      </c>
      <c r="U75" s="2" t="s">
        <v>20</v>
      </c>
      <c r="V75" s="5">
        <v>0</v>
      </c>
      <c r="W75" s="5">
        <v>0</v>
      </c>
      <c r="X75" s="5">
        <v>0</v>
      </c>
    </row>
    <row r="76" spans="1:24" outlineLevel="3">
      <c r="A76" s="2" t="s">
        <v>111</v>
      </c>
      <c r="B76" s="3">
        <v>444444522</v>
      </c>
      <c r="C76" s="3">
        <v>0</v>
      </c>
      <c r="D76" s="2" t="s">
        <v>112</v>
      </c>
      <c r="E76" s="2">
        <v>22620571</v>
      </c>
      <c r="F76" s="2" t="s">
        <v>113</v>
      </c>
      <c r="G76" s="2" t="s">
        <v>63</v>
      </c>
      <c r="H76" s="2" t="s">
        <v>28</v>
      </c>
      <c r="I76" s="2" t="s">
        <v>29</v>
      </c>
      <c r="J76" s="2" t="s">
        <v>30</v>
      </c>
      <c r="K76" s="2" t="s">
        <v>50</v>
      </c>
      <c r="L76" s="2" t="s">
        <v>51</v>
      </c>
      <c r="M76" s="2" t="s">
        <v>33</v>
      </c>
      <c r="N76" s="3">
        <v>0</v>
      </c>
      <c r="O76" s="2" t="s">
        <v>34</v>
      </c>
      <c r="P76" s="2" t="s">
        <v>118</v>
      </c>
      <c r="Q76" s="4">
        <v>45565</v>
      </c>
      <c r="R76" s="4">
        <v>45625</v>
      </c>
      <c r="S76" s="3">
        <v>-482</v>
      </c>
      <c r="T76" s="5">
        <v>0</v>
      </c>
      <c r="U76" s="2" t="s">
        <v>20</v>
      </c>
      <c r="V76" s="5">
        <v>0</v>
      </c>
      <c r="W76" s="5">
        <v>0</v>
      </c>
      <c r="X76" s="5">
        <v>0</v>
      </c>
    </row>
    <row r="77" spans="1:24" outlineLevel="3">
      <c r="A77" s="2" t="s">
        <v>111</v>
      </c>
      <c r="B77" s="3">
        <v>444444522</v>
      </c>
      <c r="C77" s="3">
        <v>0</v>
      </c>
      <c r="D77" s="2" t="s">
        <v>112</v>
      </c>
      <c r="E77" s="2">
        <v>22620571</v>
      </c>
      <c r="F77" s="2" t="s">
        <v>113</v>
      </c>
      <c r="G77" s="2" t="s">
        <v>63</v>
      </c>
      <c r="H77" s="2" t="s">
        <v>28</v>
      </c>
      <c r="I77" s="2" t="s">
        <v>29</v>
      </c>
      <c r="J77" s="2" t="s">
        <v>30</v>
      </c>
      <c r="K77" s="2" t="s">
        <v>50</v>
      </c>
      <c r="L77" s="2" t="s">
        <v>51</v>
      </c>
      <c r="M77" s="2" t="s">
        <v>33</v>
      </c>
      <c r="N77" s="3">
        <v>0</v>
      </c>
      <c r="O77" s="2" t="s">
        <v>34</v>
      </c>
      <c r="P77" s="2" t="s">
        <v>119</v>
      </c>
      <c r="Q77" s="4">
        <v>45721</v>
      </c>
      <c r="R77" s="4">
        <v>45781</v>
      </c>
      <c r="S77" s="3">
        <v>-327</v>
      </c>
      <c r="T77" s="5">
        <v>0</v>
      </c>
      <c r="U77" s="2" t="s">
        <v>20</v>
      </c>
      <c r="V77" s="5">
        <v>0</v>
      </c>
      <c r="W77" s="5">
        <v>0</v>
      </c>
      <c r="X77" s="5">
        <v>0</v>
      </c>
    </row>
    <row r="78" spans="1:24" outlineLevel="3">
      <c r="A78" s="2" t="s">
        <v>111</v>
      </c>
      <c r="B78" s="3">
        <v>444444522</v>
      </c>
      <c r="C78" s="3">
        <v>0</v>
      </c>
      <c r="D78" s="2" t="s">
        <v>112</v>
      </c>
      <c r="E78" s="2">
        <v>22620571</v>
      </c>
      <c r="F78" s="2" t="s">
        <v>113</v>
      </c>
      <c r="G78" s="2" t="s">
        <v>63</v>
      </c>
      <c r="H78" s="2" t="s">
        <v>28</v>
      </c>
      <c r="I78" s="2" t="s">
        <v>29</v>
      </c>
      <c r="J78" s="2" t="s">
        <v>30</v>
      </c>
      <c r="K78" s="2" t="s">
        <v>50</v>
      </c>
      <c r="L78" s="2" t="s">
        <v>51</v>
      </c>
      <c r="M78" s="2" t="s">
        <v>33</v>
      </c>
      <c r="N78" s="3">
        <v>0</v>
      </c>
      <c r="O78" s="2" t="s">
        <v>34</v>
      </c>
      <c r="P78" s="2" t="s">
        <v>120</v>
      </c>
      <c r="Q78" s="4">
        <v>45772</v>
      </c>
      <c r="R78" s="4">
        <v>45832</v>
      </c>
      <c r="S78" s="3">
        <v>-277</v>
      </c>
      <c r="T78" s="5">
        <v>0</v>
      </c>
      <c r="U78" s="2" t="s">
        <v>20</v>
      </c>
      <c r="V78" s="5">
        <v>0</v>
      </c>
      <c r="W78" s="5">
        <v>0</v>
      </c>
      <c r="X78" s="5">
        <v>0</v>
      </c>
    </row>
    <row r="79" spans="1:24" outlineLevel="3">
      <c r="A79" s="2" t="s">
        <v>111</v>
      </c>
      <c r="B79" s="3">
        <v>444444522</v>
      </c>
      <c r="C79" s="3">
        <v>0</v>
      </c>
      <c r="D79" s="2" t="s">
        <v>112</v>
      </c>
      <c r="E79" s="2">
        <v>22620571</v>
      </c>
      <c r="F79" s="2" t="s">
        <v>113</v>
      </c>
      <c r="G79" s="2" t="s">
        <v>63</v>
      </c>
      <c r="H79" s="2" t="s">
        <v>28</v>
      </c>
      <c r="I79" s="2" t="s">
        <v>29</v>
      </c>
      <c r="J79" s="2" t="s">
        <v>30</v>
      </c>
      <c r="K79" s="2" t="s">
        <v>50</v>
      </c>
      <c r="L79" s="2" t="s">
        <v>51</v>
      </c>
      <c r="M79" s="2" t="s">
        <v>33</v>
      </c>
      <c r="N79" s="3">
        <v>0</v>
      </c>
      <c r="O79" s="2" t="s">
        <v>34</v>
      </c>
      <c r="P79" s="2" t="s">
        <v>121</v>
      </c>
      <c r="Q79" s="4">
        <v>45806</v>
      </c>
      <c r="R79" s="4">
        <v>45866</v>
      </c>
      <c r="S79" s="3">
        <v>-243</v>
      </c>
      <c r="T79" s="5">
        <v>0</v>
      </c>
      <c r="U79" s="2" t="s">
        <v>20</v>
      </c>
      <c r="V79" s="5">
        <v>0</v>
      </c>
      <c r="W79" s="5">
        <v>0</v>
      </c>
      <c r="X79" s="5">
        <v>0</v>
      </c>
    </row>
    <row r="80" spans="1:24" outlineLevel="3">
      <c r="A80" s="2" t="s">
        <v>111</v>
      </c>
      <c r="B80" s="3">
        <v>444444522</v>
      </c>
      <c r="C80" s="3">
        <v>0</v>
      </c>
      <c r="D80" s="2" t="s">
        <v>112</v>
      </c>
      <c r="E80" s="2">
        <v>22620571</v>
      </c>
      <c r="F80" s="2" t="s">
        <v>113</v>
      </c>
      <c r="G80" s="2" t="s">
        <v>63</v>
      </c>
      <c r="H80" s="2" t="s">
        <v>28</v>
      </c>
      <c r="I80" s="2" t="s">
        <v>29</v>
      </c>
      <c r="J80" s="2" t="s">
        <v>30</v>
      </c>
      <c r="K80" s="2" t="s">
        <v>50</v>
      </c>
      <c r="L80" s="2" t="s">
        <v>51</v>
      </c>
      <c r="M80" s="2" t="s">
        <v>33</v>
      </c>
      <c r="N80" s="3">
        <v>0</v>
      </c>
      <c r="O80" s="2" t="s">
        <v>34</v>
      </c>
      <c r="P80" s="2" t="s">
        <v>122</v>
      </c>
      <c r="Q80" s="4">
        <v>45842</v>
      </c>
      <c r="R80" s="4">
        <v>45903</v>
      </c>
      <c r="S80" s="3">
        <v>-208</v>
      </c>
      <c r="T80" s="5">
        <v>0</v>
      </c>
      <c r="U80" s="2" t="s">
        <v>20</v>
      </c>
      <c r="V80" s="5">
        <v>0</v>
      </c>
      <c r="W80" s="5">
        <v>0</v>
      </c>
      <c r="X80" s="5">
        <v>0</v>
      </c>
    </row>
    <row r="81" spans="1:24" outlineLevel="3">
      <c r="A81" s="2" t="s">
        <v>111</v>
      </c>
      <c r="B81" s="3">
        <v>444444522</v>
      </c>
      <c r="C81" s="3">
        <v>0</v>
      </c>
      <c r="D81" s="2" t="s">
        <v>112</v>
      </c>
      <c r="E81" s="2">
        <v>22620571</v>
      </c>
      <c r="F81" s="2" t="s">
        <v>113</v>
      </c>
      <c r="G81" s="2" t="s">
        <v>63</v>
      </c>
      <c r="H81" s="2" t="s">
        <v>28</v>
      </c>
      <c r="I81" s="2" t="s">
        <v>29</v>
      </c>
      <c r="J81" s="2" t="s">
        <v>123</v>
      </c>
      <c r="K81" s="2" t="s">
        <v>50</v>
      </c>
      <c r="L81" s="2" t="s">
        <v>51</v>
      </c>
      <c r="M81" s="2" t="s">
        <v>33</v>
      </c>
      <c r="N81" s="3">
        <v>0</v>
      </c>
      <c r="O81" s="2" t="s">
        <v>34</v>
      </c>
      <c r="P81" s="2" t="s">
        <v>124</v>
      </c>
      <c r="Q81" s="4">
        <v>45985</v>
      </c>
      <c r="R81" s="4">
        <v>46045</v>
      </c>
      <c r="S81" s="3">
        <v>-68</v>
      </c>
      <c r="T81" s="5">
        <v>0</v>
      </c>
      <c r="U81" s="2" t="s">
        <v>20</v>
      </c>
      <c r="V81" s="5">
        <v>0</v>
      </c>
      <c r="W81" s="5">
        <v>0</v>
      </c>
      <c r="X81" s="5">
        <v>0</v>
      </c>
    </row>
    <row r="82" spans="1:24" outlineLevel="3">
      <c r="A82" s="2" t="s">
        <v>111</v>
      </c>
      <c r="B82" s="3">
        <v>444444522</v>
      </c>
      <c r="C82" s="3">
        <v>0</v>
      </c>
      <c r="D82" s="2" t="s">
        <v>112</v>
      </c>
      <c r="E82" s="2">
        <v>22620571</v>
      </c>
      <c r="F82" s="2" t="s">
        <v>113</v>
      </c>
      <c r="G82" s="2" t="s">
        <v>63</v>
      </c>
      <c r="H82" s="2" t="s">
        <v>28</v>
      </c>
      <c r="I82" s="2" t="s">
        <v>29</v>
      </c>
      <c r="J82" s="2" t="s">
        <v>123</v>
      </c>
      <c r="K82" s="2" t="s">
        <v>50</v>
      </c>
      <c r="L82" s="2" t="s">
        <v>51</v>
      </c>
      <c r="M82" s="2" t="s">
        <v>33</v>
      </c>
      <c r="N82" s="3">
        <v>0</v>
      </c>
      <c r="O82" s="2" t="s">
        <v>34</v>
      </c>
      <c r="P82" s="2" t="s">
        <v>125</v>
      </c>
      <c r="Q82" s="4">
        <v>46112</v>
      </c>
      <c r="R82" s="4">
        <v>46171</v>
      </c>
      <c r="S82" s="3">
        <v>58</v>
      </c>
      <c r="T82" s="5">
        <v>0</v>
      </c>
      <c r="U82" s="2" t="s">
        <v>126</v>
      </c>
      <c r="V82" s="5">
        <v>12000769.199999999</v>
      </c>
      <c r="W82" s="5">
        <v>0</v>
      </c>
      <c r="X82" s="5">
        <v>0</v>
      </c>
    </row>
    <row r="83" spans="1:24" outlineLevel="2">
      <c r="M83" s="14" t="s">
        <v>346</v>
      </c>
      <c r="T83" s="5">
        <f>SUBTOTAL(9,T72:T82)</f>
        <v>0</v>
      </c>
      <c r="V83" s="5">
        <f>SUBTOTAL(9,V72:V82)</f>
        <v>12000769.199999999</v>
      </c>
      <c r="W83" s="5">
        <f>SUBTOTAL(9,W72:W82)</f>
        <v>0</v>
      </c>
    </row>
    <row r="84" spans="1:24" outlineLevel="1">
      <c r="A84" s="14" t="s">
        <v>326</v>
      </c>
      <c r="T84" s="5">
        <f>SUBTOTAL(9,T72:T82)</f>
        <v>0</v>
      </c>
      <c r="V84" s="5">
        <f>SUBTOTAL(9,V72:V82)</f>
        <v>12000769.199999999</v>
      </c>
      <c r="W84" s="5">
        <f>SUBTOTAL(9,W72:W82)</f>
        <v>0</v>
      </c>
    </row>
    <row r="85" spans="1:24" outlineLevel="3">
      <c r="A85" s="2" t="s">
        <v>127</v>
      </c>
      <c r="B85" s="3">
        <v>444444525</v>
      </c>
      <c r="C85" s="3">
        <v>0</v>
      </c>
      <c r="D85" s="2" t="s">
        <v>128</v>
      </c>
      <c r="E85" s="2">
        <v>25248600</v>
      </c>
      <c r="F85" s="2" t="s">
        <v>129</v>
      </c>
      <c r="G85" s="2" t="s">
        <v>130</v>
      </c>
      <c r="H85" s="2" t="s">
        <v>28</v>
      </c>
      <c r="I85" s="2" t="s">
        <v>29</v>
      </c>
      <c r="J85" s="2" t="s">
        <v>49</v>
      </c>
      <c r="K85" s="2" t="s">
        <v>131</v>
      </c>
      <c r="L85" s="2" t="s">
        <v>132</v>
      </c>
      <c r="M85" s="2" t="s">
        <v>33</v>
      </c>
      <c r="N85" s="3">
        <v>0</v>
      </c>
      <c r="O85" s="2" t="s">
        <v>34</v>
      </c>
      <c r="P85" s="2" t="s">
        <v>133</v>
      </c>
      <c r="Q85" s="4">
        <v>44230</v>
      </c>
      <c r="R85" s="4">
        <v>44230</v>
      </c>
      <c r="S85" s="3">
        <v>-1858</v>
      </c>
      <c r="T85" s="5">
        <v>0</v>
      </c>
      <c r="U85" s="2" t="s">
        <v>20</v>
      </c>
      <c r="V85" s="5">
        <v>0</v>
      </c>
      <c r="W85" s="5">
        <v>0</v>
      </c>
      <c r="X85" s="5">
        <v>0</v>
      </c>
    </row>
    <row r="86" spans="1:24" outlineLevel="3">
      <c r="A86" s="2" t="s">
        <v>127</v>
      </c>
      <c r="B86" s="3">
        <v>444444525</v>
      </c>
      <c r="C86" s="3">
        <v>0</v>
      </c>
      <c r="D86" s="2" t="s">
        <v>128</v>
      </c>
      <c r="E86" s="2">
        <v>25248600</v>
      </c>
      <c r="F86" s="2" t="s">
        <v>129</v>
      </c>
      <c r="G86" s="2" t="s">
        <v>130</v>
      </c>
      <c r="H86" s="2" t="s">
        <v>28</v>
      </c>
      <c r="I86" s="2" t="s">
        <v>29</v>
      </c>
      <c r="J86" s="2" t="s">
        <v>49</v>
      </c>
      <c r="K86" s="2" t="s">
        <v>131</v>
      </c>
      <c r="L86" s="2" t="s">
        <v>132</v>
      </c>
      <c r="M86" s="2" t="s">
        <v>33</v>
      </c>
      <c r="N86" s="3">
        <v>0</v>
      </c>
      <c r="O86" s="2" t="s">
        <v>34</v>
      </c>
      <c r="P86" s="2" t="s">
        <v>134</v>
      </c>
      <c r="Q86" s="4">
        <v>44230</v>
      </c>
      <c r="R86" s="4">
        <v>44288</v>
      </c>
      <c r="S86" s="3">
        <v>-1799</v>
      </c>
      <c r="T86" s="5">
        <v>0</v>
      </c>
      <c r="U86" s="2" t="s">
        <v>20</v>
      </c>
      <c r="V86" s="5">
        <v>0</v>
      </c>
      <c r="W86" s="5">
        <v>0</v>
      </c>
      <c r="X86" s="5">
        <v>0</v>
      </c>
    </row>
    <row r="87" spans="1:24" outlineLevel="3">
      <c r="A87" s="2" t="s">
        <v>127</v>
      </c>
      <c r="B87" s="3">
        <v>444444525</v>
      </c>
      <c r="C87" s="3">
        <v>0</v>
      </c>
      <c r="D87" s="2" t="s">
        <v>128</v>
      </c>
      <c r="E87" s="2">
        <v>25248600</v>
      </c>
      <c r="F87" s="2" t="s">
        <v>129</v>
      </c>
      <c r="G87" s="2" t="s">
        <v>130</v>
      </c>
      <c r="H87" s="2" t="s">
        <v>28</v>
      </c>
      <c r="I87" s="2" t="s">
        <v>29</v>
      </c>
      <c r="J87" s="2" t="s">
        <v>49</v>
      </c>
      <c r="K87" s="2" t="s">
        <v>131</v>
      </c>
      <c r="L87" s="2" t="s">
        <v>132</v>
      </c>
      <c r="M87" s="2" t="s">
        <v>33</v>
      </c>
      <c r="N87" s="3">
        <v>0</v>
      </c>
      <c r="O87" s="2" t="s">
        <v>34</v>
      </c>
      <c r="P87" s="2" t="s">
        <v>135</v>
      </c>
      <c r="Q87" s="4">
        <v>44294</v>
      </c>
      <c r="R87" s="4">
        <v>44294</v>
      </c>
      <c r="S87" s="3">
        <v>-1793</v>
      </c>
      <c r="T87" s="5">
        <v>0</v>
      </c>
      <c r="U87" s="2" t="s">
        <v>20</v>
      </c>
      <c r="V87" s="5">
        <v>0</v>
      </c>
      <c r="W87" s="5">
        <v>0</v>
      </c>
      <c r="X87" s="5">
        <v>0</v>
      </c>
    </row>
    <row r="88" spans="1:24" outlineLevel="3">
      <c r="A88" s="2" t="s">
        <v>127</v>
      </c>
      <c r="B88" s="3">
        <v>444444525</v>
      </c>
      <c r="C88" s="3">
        <v>0</v>
      </c>
      <c r="D88" s="2" t="s">
        <v>128</v>
      </c>
      <c r="E88" s="2">
        <v>25248600</v>
      </c>
      <c r="F88" s="2" t="s">
        <v>129</v>
      </c>
      <c r="G88" s="2" t="s">
        <v>130</v>
      </c>
      <c r="H88" s="2" t="s">
        <v>28</v>
      </c>
      <c r="I88" s="2" t="s">
        <v>29</v>
      </c>
      <c r="J88" s="2" t="s">
        <v>49</v>
      </c>
      <c r="K88" s="2" t="s">
        <v>131</v>
      </c>
      <c r="L88" s="2" t="s">
        <v>132</v>
      </c>
      <c r="M88" s="2" t="s">
        <v>33</v>
      </c>
      <c r="N88" s="3">
        <v>0</v>
      </c>
      <c r="O88" s="2" t="s">
        <v>34</v>
      </c>
      <c r="P88" s="2" t="s">
        <v>136</v>
      </c>
      <c r="Q88" s="4">
        <v>44294</v>
      </c>
      <c r="R88" s="4">
        <v>44354</v>
      </c>
      <c r="S88" s="3">
        <v>-1734</v>
      </c>
      <c r="T88" s="5">
        <v>0</v>
      </c>
      <c r="U88" s="2" t="s">
        <v>20</v>
      </c>
      <c r="V88" s="5">
        <v>0</v>
      </c>
      <c r="W88" s="5">
        <v>0</v>
      </c>
      <c r="X88" s="5">
        <v>0</v>
      </c>
    </row>
    <row r="89" spans="1:24" outlineLevel="3">
      <c r="A89" s="2" t="s">
        <v>127</v>
      </c>
      <c r="B89" s="3">
        <v>444444525</v>
      </c>
      <c r="C89" s="3">
        <v>0</v>
      </c>
      <c r="D89" s="2" t="s">
        <v>128</v>
      </c>
      <c r="E89" s="2">
        <v>25248600</v>
      </c>
      <c r="F89" s="2" t="s">
        <v>129</v>
      </c>
      <c r="G89" s="2" t="s">
        <v>130</v>
      </c>
      <c r="H89" s="2" t="s">
        <v>28</v>
      </c>
      <c r="I89" s="2" t="s">
        <v>29</v>
      </c>
      <c r="J89" s="2" t="s">
        <v>49</v>
      </c>
      <c r="K89" s="2" t="s">
        <v>131</v>
      </c>
      <c r="L89" s="2" t="s">
        <v>132</v>
      </c>
      <c r="M89" s="2" t="s">
        <v>33</v>
      </c>
      <c r="N89" s="3">
        <v>0</v>
      </c>
      <c r="O89" s="2" t="s">
        <v>34</v>
      </c>
      <c r="P89" s="2" t="s">
        <v>137</v>
      </c>
      <c r="Q89" s="4">
        <v>44484</v>
      </c>
      <c r="R89" s="4">
        <v>44484</v>
      </c>
      <c r="S89" s="3">
        <v>-1606</v>
      </c>
      <c r="T89" s="5">
        <v>0</v>
      </c>
      <c r="U89" s="2" t="s">
        <v>20</v>
      </c>
      <c r="V89" s="5">
        <v>0</v>
      </c>
      <c r="W89" s="5">
        <v>0</v>
      </c>
      <c r="X89" s="5">
        <v>0</v>
      </c>
    </row>
    <row r="90" spans="1:24" outlineLevel="3">
      <c r="A90" s="2" t="s">
        <v>127</v>
      </c>
      <c r="B90" s="3">
        <v>444444525</v>
      </c>
      <c r="C90" s="3">
        <v>0</v>
      </c>
      <c r="D90" s="2" t="s">
        <v>128</v>
      </c>
      <c r="E90" s="2">
        <v>25248600</v>
      </c>
      <c r="F90" s="2" t="s">
        <v>129</v>
      </c>
      <c r="G90" s="2" t="s">
        <v>130</v>
      </c>
      <c r="H90" s="2" t="s">
        <v>28</v>
      </c>
      <c r="I90" s="2" t="s">
        <v>29</v>
      </c>
      <c r="J90" s="2" t="s">
        <v>49</v>
      </c>
      <c r="K90" s="2" t="s">
        <v>131</v>
      </c>
      <c r="L90" s="2" t="s">
        <v>132</v>
      </c>
      <c r="M90" s="2" t="s">
        <v>33</v>
      </c>
      <c r="N90" s="3">
        <v>0</v>
      </c>
      <c r="O90" s="2" t="s">
        <v>34</v>
      </c>
      <c r="P90" s="2" t="s">
        <v>138</v>
      </c>
      <c r="Q90" s="4">
        <v>44431</v>
      </c>
      <c r="R90" s="4">
        <v>44491</v>
      </c>
      <c r="S90" s="3">
        <v>-1599</v>
      </c>
      <c r="T90" s="5">
        <v>0</v>
      </c>
      <c r="U90" s="2" t="s">
        <v>20</v>
      </c>
      <c r="V90" s="5">
        <v>0</v>
      </c>
      <c r="W90" s="5">
        <v>0</v>
      </c>
      <c r="X90" s="5">
        <v>0</v>
      </c>
    </row>
    <row r="91" spans="1:24" outlineLevel="3">
      <c r="A91" s="2" t="s">
        <v>127</v>
      </c>
      <c r="B91" s="3">
        <v>444444525</v>
      </c>
      <c r="C91" s="3">
        <v>0</v>
      </c>
      <c r="D91" s="2" t="s">
        <v>128</v>
      </c>
      <c r="E91" s="2">
        <v>25248600</v>
      </c>
      <c r="F91" s="2" t="s">
        <v>129</v>
      </c>
      <c r="G91" s="2" t="s">
        <v>130</v>
      </c>
      <c r="H91" s="2" t="s">
        <v>28</v>
      </c>
      <c r="I91" s="2" t="s">
        <v>29</v>
      </c>
      <c r="J91" s="2" t="s">
        <v>49</v>
      </c>
      <c r="K91" s="2" t="s">
        <v>131</v>
      </c>
      <c r="L91" s="2" t="s">
        <v>132</v>
      </c>
      <c r="M91" s="2" t="s">
        <v>33</v>
      </c>
      <c r="N91" s="3">
        <v>0</v>
      </c>
      <c r="O91" s="2" t="s">
        <v>34</v>
      </c>
      <c r="P91" s="2" t="s">
        <v>139</v>
      </c>
      <c r="Q91" s="4">
        <v>44456</v>
      </c>
      <c r="R91" s="4">
        <v>44516</v>
      </c>
      <c r="S91" s="3">
        <v>-1575</v>
      </c>
      <c r="T91" s="5">
        <v>0</v>
      </c>
      <c r="U91" s="2" t="s">
        <v>20</v>
      </c>
      <c r="V91" s="5">
        <v>0</v>
      </c>
      <c r="W91" s="5">
        <v>0</v>
      </c>
      <c r="X91" s="5">
        <v>0</v>
      </c>
    </row>
    <row r="92" spans="1:24" outlineLevel="3">
      <c r="A92" s="2" t="s">
        <v>127</v>
      </c>
      <c r="B92" s="3">
        <v>444444525</v>
      </c>
      <c r="C92" s="3">
        <v>0</v>
      </c>
      <c r="D92" s="2" t="s">
        <v>128</v>
      </c>
      <c r="E92" s="2">
        <v>25248600</v>
      </c>
      <c r="F92" s="2" t="s">
        <v>129</v>
      </c>
      <c r="G92" s="2" t="s">
        <v>130</v>
      </c>
      <c r="H92" s="2" t="s">
        <v>28</v>
      </c>
      <c r="I92" s="2" t="s">
        <v>29</v>
      </c>
      <c r="J92" s="2" t="s">
        <v>49</v>
      </c>
      <c r="K92" s="2" t="s">
        <v>131</v>
      </c>
      <c r="L92" s="2" t="s">
        <v>132</v>
      </c>
      <c r="M92" s="2" t="s">
        <v>33</v>
      </c>
      <c r="N92" s="3">
        <v>0</v>
      </c>
      <c r="O92" s="2" t="s">
        <v>34</v>
      </c>
      <c r="P92" s="2" t="s">
        <v>140</v>
      </c>
      <c r="Q92" s="4">
        <v>44491</v>
      </c>
      <c r="R92" s="4">
        <v>44516</v>
      </c>
      <c r="S92" s="3">
        <v>-1575</v>
      </c>
      <c r="T92" s="5">
        <v>0</v>
      </c>
      <c r="U92" s="2" t="s">
        <v>20</v>
      </c>
      <c r="V92" s="5">
        <v>0</v>
      </c>
      <c r="W92" s="5">
        <v>0</v>
      </c>
      <c r="X92" s="5">
        <v>0</v>
      </c>
    </row>
    <row r="93" spans="1:24" outlineLevel="3">
      <c r="A93" s="2" t="s">
        <v>127</v>
      </c>
      <c r="B93" s="3">
        <v>444444525</v>
      </c>
      <c r="C93" s="3">
        <v>0</v>
      </c>
      <c r="D93" s="2" t="s">
        <v>128</v>
      </c>
      <c r="E93" s="2">
        <v>25248600</v>
      </c>
      <c r="F93" s="2" t="s">
        <v>129</v>
      </c>
      <c r="G93" s="2" t="s">
        <v>130</v>
      </c>
      <c r="H93" s="2" t="s">
        <v>28</v>
      </c>
      <c r="I93" s="2" t="s">
        <v>29</v>
      </c>
      <c r="J93" s="2" t="s">
        <v>49</v>
      </c>
      <c r="K93" s="2" t="s">
        <v>131</v>
      </c>
      <c r="L93" s="2" t="s">
        <v>132</v>
      </c>
      <c r="M93" s="2" t="s">
        <v>33</v>
      </c>
      <c r="N93" s="3">
        <v>0</v>
      </c>
      <c r="O93" s="2" t="s">
        <v>34</v>
      </c>
      <c r="P93" s="2" t="s">
        <v>141</v>
      </c>
      <c r="Q93" s="4">
        <v>44518</v>
      </c>
      <c r="R93" s="4">
        <v>44518</v>
      </c>
      <c r="S93" s="3">
        <v>-1573</v>
      </c>
      <c r="T93" s="5">
        <v>0</v>
      </c>
      <c r="U93" s="2" t="s">
        <v>20</v>
      </c>
      <c r="V93" s="5">
        <v>0</v>
      </c>
      <c r="W93" s="5">
        <v>0</v>
      </c>
      <c r="X93" s="5">
        <v>0</v>
      </c>
    </row>
    <row r="94" spans="1:24" outlineLevel="3">
      <c r="A94" s="2" t="s">
        <v>127</v>
      </c>
      <c r="B94" s="3">
        <v>444444525</v>
      </c>
      <c r="C94" s="3">
        <v>0</v>
      </c>
      <c r="D94" s="2" t="s">
        <v>128</v>
      </c>
      <c r="E94" s="2">
        <v>25248600</v>
      </c>
      <c r="F94" s="2" t="s">
        <v>129</v>
      </c>
      <c r="G94" s="2" t="s">
        <v>130</v>
      </c>
      <c r="H94" s="2" t="s">
        <v>28</v>
      </c>
      <c r="I94" s="2" t="s">
        <v>29</v>
      </c>
      <c r="J94" s="2" t="s">
        <v>30</v>
      </c>
      <c r="K94" s="2" t="s">
        <v>131</v>
      </c>
      <c r="L94" s="2" t="s">
        <v>132</v>
      </c>
      <c r="M94" s="2" t="s">
        <v>33</v>
      </c>
      <c r="N94" s="3">
        <v>0</v>
      </c>
      <c r="O94" s="2" t="s">
        <v>34</v>
      </c>
      <c r="P94" s="2" t="s">
        <v>142</v>
      </c>
      <c r="Q94" s="4">
        <v>44516</v>
      </c>
      <c r="R94" s="4">
        <v>44576</v>
      </c>
      <c r="S94" s="3">
        <v>-1516</v>
      </c>
      <c r="T94" s="5">
        <v>0</v>
      </c>
      <c r="U94" s="2" t="s">
        <v>20</v>
      </c>
      <c r="V94" s="5">
        <v>0</v>
      </c>
      <c r="W94" s="5">
        <v>0</v>
      </c>
      <c r="X94" s="5">
        <v>0</v>
      </c>
    </row>
    <row r="95" spans="1:24" outlineLevel="3">
      <c r="A95" s="2" t="s">
        <v>127</v>
      </c>
      <c r="B95" s="3">
        <v>444444525</v>
      </c>
      <c r="C95" s="3">
        <v>0</v>
      </c>
      <c r="D95" s="2" t="s">
        <v>128</v>
      </c>
      <c r="E95" s="2">
        <v>25248600</v>
      </c>
      <c r="F95" s="2" t="s">
        <v>129</v>
      </c>
      <c r="G95" s="2" t="s">
        <v>130</v>
      </c>
      <c r="H95" s="2" t="s">
        <v>28</v>
      </c>
      <c r="I95" s="2" t="s">
        <v>29</v>
      </c>
      <c r="J95" s="2" t="s">
        <v>30</v>
      </c>
      <c r="K95" s="2" t="s">
        <v>131</v>
      </c>
      <c r="L95" s="2" t="s">
        <v>132</v>
      </c>
      <c r="M95" s="2" t="s">
        <v>33</v>
      </c>
      <c r="N95" s="3">
        <v>0</v>
      </c>
      <c r="O95" s="2" t="s">
        <v>34</v>
      </c>
      <c r="P95" s="2" t="s">
        <v>143</v>
      </c>
      <c r="Q95" s="4">
        <v>44648</v>
      </c>
      <c r="R95" s="4">
        <v>44648</v>
      </c>
      <c r="S95" s="3">
        <v>-1443</v>
      </c>
      <c r="T95" s="5">
        <v>0</v>
      </c>
      <c r="U95" s="2" t="s">
        <v>20</v>
      </c>
      <c r="V95" s="5">
        <v>0</v>
      </c>
      <c r="W95" s="5">
        <v>0</v>
      </c>
      <c r="X95" s="5">
        <v>0</v>
      </c>
    </row>
    <row r="96" spans="1:24" outlineLevel="3">
      <c r="A96" s="2" t="s">
        <v>127</v>
      </c>
      <c r="B96" s="3">
        <v>444444525</v>
      </c>
      <c r="C96" s="3">
        <v>0</v>
      </c>
      <c r="D96" s="2" t="s">
        <v>128</v>
      </c>
      <c r="E96" s="2">
        <v>25248600</v>
      </c>
      <c r="F96" s="2" t="s">
        <v>129</v>
      </c>
      <c r="G96" s="2" t="s">
        <v>130</v>
      </c>
      <c r="H96" s="2" t="s">
        <v>28</v>
      </c>
      <c r="I96" s="2" t="s">
        <v>29</v>
      </c>
      <c r="J96" s="2" t="s">
        <v>30</v>
      </c>
      <c r="K96" s="2" t="s">
        <v>131</v>
      </c>
      <c r="L96" s="2" t="s">
        <v>132</v>
      </c>
      <c r="M96" s="2" t="s">
        <v>33</v>
      </c>
      <c r="N96" s="3">
        <v>0</v>
      </c>
      <c r="O96" s="2" t="s">
        <v>34</v>
      </c>
      <c r="P96" s="2" t="s">
        <v>144</v>
      </c>
      <c r="Q96" s="4">
        <v>44648</v>
      </c>
      <c r="R96" s="4">
        <v>44708</v>
      </c>
      <c r="S96" s="3">
        <v>-1384</v>
      </c>
      <c r="T96" s="5">
        <v>0</v>
      </c>
      <c r="U96" s="2" t="s">
        <v>20</v>
      </c>
      <c r="V96" s="5">
        <v>0</v>
      </c>
      <c r="W96" s="5">
        <v>0</v>
      </c>
      <c r="X96" s="5">
        <v>0</v>
      </c>
    </row>
    <row r="97" spans="1:24" outlineLevel="3">
      <c r="A97" s="2" t="s">
        <v>127</v>
      </c>
      <c r="B97" s="3">
        <v>444444525</v>
      </c>
      <c r="C97" s="3">
        <v>0</v>
      </c>
      <c r="D97" s="2" t="s">
        <v>128</v>
      </c>
      <c r="E97" s="2">
        <v>25248600</v>
      </c>
      <c r="F97" s="2" t="s">
        <v>129</v>
      </c>
      <c r="G97" s="2" t="s">
        <v>130</v>
      </c>
      <c r="H97" s="2" t="s">
        <v>28</v>
      </c>
      <c r="I97" s="2" t="s">
        <v>29</v>
      </c>
      <c r="J97" s="2" t="s">
        <v>30</v>
      </c>
      <c r="K97" s="2" t="s">
        <v>131</v>
      </c>
      <c r="L97" s="2" t="s">
        <v>132</v>
      </c>
      <c r="M97" s="2" t="s">
        <v>33</v>
      </c>
      <c r="N97" s="3">
        <v>0</v>
      </c>
      <c r="O97" s="2" t="s">
        <v>34</v>
      </c>
      <c r="P97" s="2" t="s">
        <v>145</v>
      </c>
      <c r="Q97" s="4">
        <v>44795</v>
      </c>
      <c r="R97" s="4">
        <v>44795</v>
      </c>
      <c r="S97" s="3">
        <v>-1299</v>
      </c>
      <c r="T97" s="5">
        <v>0</v>
      </c>
      <c r="U97" s="2" t="s">
        <v>20</v>
      </c>
      <c r="V97" s="5">
        <v>0</v>
      </c>
      <c r="W97" s="5">
        <v>0</v>
      </c>
      <c r="X97" s="5">
        <v>0</v>
      </c>
    </row>
    <row r="98" spans="1:24" outlineLevel="3">
      <c r="A98" s="2" t="s">
        <v>127</v>
      </c>
      <c r="B98" s="3">
        <v>444444525</v>
      </c>
      <c r="C98" s="3">
        <v>0</v>
      </c>
      <c r="D98" s="2" t="s">
        <v>128</v>
      </c>
      <c r="E98" s="2">
        <v>25248600</v>
      </c>
      <c r="F98" s="2" t="s">
        <v>129</v>
      </c>
      <c r="G98" s="2" t="s">
        <v>130</v>
      </c>
      <c r="H98" s="2" t="s">
        <v>28</v>
      </c>
      <c r="I98" s="2" t="s">
        <v>29</v>
      </c>
      <c r="J98" s="2" t="s">
        <v>30</v>
      </c>
      <c r="K98" s="2" t="s">
        <v>131</v>
      </c>
      <c r="L98" s="2" t="s">
        <v>132</v>
      </c>
      <c r="M98" s="2" t="s">
        <v>33</v>
      </c>
      <c r="N98" s="3">
        <v>0</v>
      </c>
      <c r="O98" s="2" t="s">
        <v>34</v>
      </c>
      <c r="P98" s="2" t="s">
        <v>146</v>
      </c>
      <c r="Q98" s="4">
        <v>44806</v>
      </c>
      <c r="R98" s="4">
        <v>44806</v>
      </c>
      <c r="S98" s="3">
        <v>-1289</v>
      </c>
      <c r="T98" s="5">
        <v>0</v>
      </c>
      <c r="U98" s="2" t="s">
        <v>20</v>
      </c>
      <c r="V98" s="5">
        <v>0</v>
      </c>
      <c r="W98" s="5">
        <v>0</v>
      </c>
      <c r="X98" s="5">
        <v>0</v>
      </c>
    </row>
    <row r="99" spans="1:24" outlineLevel="3">
      <c r="A99" s="2" t="s">
        <v>127</v>
      </c>
      <c r="B99" s="3">
        <v>444444525</v>
      </c>
      <c r="C99" s="3">
        <v>0</v>
      </c>
      <c r="D99" s="2" t="s">
        <v>128</v>
      </c>
      <c r="E99" s="2">
        <v>25248600</v>
      </c>
      <c r="F99" s="2" t="s">
        <v>129</v>
      </c>
      <c r="G99" s="2" t="s">
        <v>130</v>
      </c>
      <c r="H99" s="2" t="s">
        <v>28</v>
      </c>
      <c r="I99" s="2" t="s">
        <v>29</v>
      </c>
      <c r="J99" s="2" t="s">
        <v>30</v>
      </c>
      <c r="K99" s="2" t="s">
        <v>131</v>
      </c>
      <c r="L99" s="2" t="s">
        <v>132</v>
      </c>
      <c r="M99" s="2" t="s">
        <v>33</v>
      </c>
      <c r="N99" s="3">
        <v>0</v>
      </c>
      <c r="O99" s="2" t="s">
        <v>34</v>
      </c>
      <c r="P99" s="2" t="s">
        <v>147</v>
      </c>
      <c r="Q99" s="4">
        <v>44778</v>
      </c>
      <c r="R99" s="4">
        <v>44838</v>
      </c>
      <c r="S99" s="3">
        <v>-1257</v>
      </c>
      <c r="T99" s="5">
        <v>0</v>
      </c>
      <c r="U99" s="2" t="s">
        <v>20</v>
      </c>
      <c r="V99" s="5">
        <v>0</v>
      </c>
      <c r="W99" s="5">
        <v>0</v>
      </c>
      <c r="X99" s="5">
        <v>0</v>
      </c>
    </row>
    <row r="100" spans="1:24" outlineLevel="3">
      <c r="A100" s="2" t="s">
        <v>127</v>
      </c>
      <c r="B100" s="3">
        <v>444444525</v>
      </c>
      <c r="C100" s="3">
        <v>0</v>
      </c>
      <c r="D100" s="2" t="s">
        <v>128</v>
      </c>
      <c r="E100" s="2">
        <v>25248600</v>
      </c>
      <c r="F100" s="2" t="s">
        <v>129</v>
      </c>
      <c r="G100" s="2" t="s">
        <v>130</v>
      </c>
      <c r="H100" s="2" t="s">
        <v>28</v>
      </c>
      <c r="I100" s="2" t="s">
        <v>29</v>
      </c>
      <c r="J100" s="2" t="s">
        <v>30</v>
      </c>
      <c r="K100" s="2" t="s">
        <v>131</v>
      </c>
      <c r="L100" s="2" t="s">
        <v>132</v>
      </c>
      <c r="M100" s="2" t="s">
        <v>33</v>
      </c>
      <c r="N100" s="3">
        <v>0</v>
      </c>
      <c r="O100" s="2" t="s">
        <v>34</v>
      </c>
      <c r="P100" s="2" t="s">
        <v>148</v>
      </c>
      <c r="Q100" s="4">
        <v>44909</v>
      </c>
      <c r="R100" s="4">
        <v>44909</v>
      </c>
      <c r="S100" s="3">
        <v>-1187</v>
      </c>
      <c r="T100" s="5">
        <v>0</v>
      </c>
      <c r="U100" s="2" t="s">
        <v>20</v>
      </c>
      <c r="V100" s="5">
        <v>0</v>
      </c>
      <c r="W100" s="5">
        <v>0</v>
      </c>
      <c r="X100" s="5">
        <v>0</v>
      </c>
    </row>
    <row r="101" spans="1:24" outlineLevel="3">
      <c r="A101" s="2" t="s">
        <v>127</v>
      </c>
      <c r="B101" s="3">
        <v>444444525</v>
      </c>
      <c r="C101" s="3">
        <v>0</v>
      </c>
      <c r="D101" s="2" t="s">
        <v>128</v>
      </c>
      <c r="E101" s="2">
        <v>25248600</v>
      </c>
      <c r="F101" s="2" t="s">
        <v>129</v>
      </c>
      <c r="G101" s="2" t="s">
        <v>130</v>
      </c>
      <c r="H101" s="2" t="s">
        <v>28</v>
      </c>
      <c r="I101" s="2" t="s">
        <v>29</v>
      </c>
      <c r="J101" s="2" t="s">
        <v>30</v>
      </c>
      <c r="K101" s="2" t="s">
        <v>131</v>
      </c>
      <c r="L101" s="2" t="s">
        <v>132</v>
      </c>
      <c r="M101" s="2" t="s">
        <v>33</v>
      </c>
      <c r="N101" s="3">
        <v>0</v>
      </c>
      <c r="O101" s="2" t="s">
        <v>34</v>
      </c>
      <c r="P101" s="2" t="s">
        <v>149</v>
      </c>
      <c r="Q101" s="4">
        <v>44859</v>
      </c>
      <c r="R101" s="4">
        <v>44919</v>
      </c>
      <c r="S101" s="3">
        <v>-1177</v>
      </c>
      <c r="T101" s="5">
        <v>0</v>
      </c>
      <c r="U101" s="2" t="s">
        <v>20</v>
      </c>
      <c r="V101" s="5">
        <v>0</v>
      </c>
      <c r="W101" s="5">
        <v>0</v>
      </c>
      <c r="X101" s="5">
        <v>0</v>
      </c>
    </row>
    <row r="102" spans="1:24" outlineLevel="3">
      <c r="A102" s="2" t="s">
        <v>127</v>
      </c>
      <c r="B102" s="3">
        <v>444444525</v>
      </c>
      <c r="C102" s="3">
        <v>0</v>
      </c>
      <c r="D102" s="2" t="s">
        <v>128</v>
      </c>
      <c r="E102" s="2">
        <v>25248600</v>
      </c>
      <c r="F102" s="2" t="s">
        <v>129</v>
      </c>
      <c r="G102" s="2" t="s">
        <v>130</v>
      </c>
      <c r="H102" s="2" t="s">
        <v>28</v>
      </c>
      <c r="I102" s="2" t="s">
        <v>29</v>
      </c>
      <c r="J102" s="2" t="s">
        <v>30</v>
      </c>
      <c r="K102" s="2" t="s">
        <v>131</v>
      </c>
      <c r="L102" s="2" t="s">
        <v>132</v>
      </c>
      <c r="M102" s="2" t="s">
        <v>33</v>
      </c>
      <c r="N102" s="3">
        <v>0</v>
      </c>
      <c r="O102" s="2" t="s">
        <v>34</v>
      </c>
      <c r="P102" s="2" t="s">
        <v>150</v>
      </c>
      <c r="Q102" s="4">
        <v>45056</v>
      </c>
      <c r="R102" s="4">
        <v>45116</v>
      </c>
      <c r="S102" s="3">
        <v>-982</v>
      </c>
      <c r="T102" s="5">
        <v>0</v>
      </c>
      <c r="U102" s="2" t="s">
        <v>20</v>
      </c>
      <c r="V102" s="5">
        <v>0</v>
      </c>
      <c r="W102" s="5">
        <v>0</v>
      </c>
      <c r="X102" s="5">
        <v>0</v>
      </c>
    </row>
    <row r="103" spans="1:24" outlineLevel="3">
      <c r="A103" s="2" t="s">
        <v>127</v>
      </c>
      <c r="B103" s="3">
        <v>444444525</v>
      </c>
      <c r="C103" s="3">
        <v>0</v>
      </c>
      <c r="D103" s="2" t="s">
        <v>128</v>
      </c>
      <c r="E103" s="2">
        <v>25248600</v>
      </c>
      <c r="F103" s="2" t="s">
        <v>129</v>
      </c>
      <c r="G103" s="2" t="s">
        <v>130</v>
      </c>
      <c r="H103" s="2" t="s">
        <v>28</v>
      </c>
      <c r="I103" s="2" t="s">
        <v>29</v>
      </c>
      <c r="J103" s="2" t="s">
        <v>30</v>
      </c>
      <c r="K103" s="2" t="s">
        <v>131</v>
      </c>
      <c r="L103" s="2" t="s">
        <v>132</v>
      </c>
      <c r="M103" s="2" t="s">
        <v>33</v>
      </c>
      <c r="N103" s="3">
        <v>0</v>
      </c>
      <c r="O103" s="2" t="s">
        <v>34</v>
      </c>
      <c r="P103" s="2" t="s">
        <v>151</v>
      </c>
      <c r="Q103" s="4">
        <v>45173</v>
      </c>
      <c r="R103" s="4">
        <v>45173</v>
      </c>
      <c r="S103" s="3">
        <v>-927</v>
      </c>
      <c r="T103" s="5">
        <v>0</v>
      </c>
      <c r="U103" s="2" t="s">
        <v>20</v>
      </c>
      <c r="V103" s="5">
        <v>0</v>
      </c>
      <c r="W103" s="5">
        <v>0</v>
      </c>
      <c r="X103" s="5">
        <v>0</v>
      </c>
    </row>
    <row r="104" spans="1:24" outlineLevel="3">
      <c r="A104" s="2" t="s">
        <v>127</v>
      </c>
      <c r="B104" s="3">
        <v>444444525</v>
      </c>
      <c r="C104" s="3">
        <v>0</v>
      </c>
      <c r="D104" s="2" t="s">
        <v>128</v>
      </c>
      <c r="E104" s="2">
        <v>25248600</v>
      </c>
      <c r="F104" s="2" t="s">
        <v>129</v>
      </c>
      <c r="G104" s="2" t="s">
        <v>130</v>
      </c>
      <c r="H104" s="2" t="s">
        <v>28</v>
      </c>
      <c r="I104" s="2" t="s">
        <v>29</v>
      </c>
      <c r="J104" s="2" t="s">
        <v>30</v>
      </c>
      <c r="K104" s="2" t="s">
        <v>131</v>
      </c>
      <c r="L104" s="2" t="s">
        <v>132</v>
      </c>
      <c r="M104" s="2" t="s">
        <v>33</v>
      </c>
      <c r="N104" s="3">
        <v>0</v>
      </c>
      <c r="O104" s="2" t="s">
        <v>34</v>
      </c>
      <c r="P104" s="2" t="s">
        <v>152</v>
      </c>
      <c r="Q104" s="4">
        <v>45246</v>
      </c>
      <c r="R104" s="4">
        <v>45306</v>
      </c>
      <c r="S104" s="3">
        <v>-796</v>
      </c>
      <c r="T104" s="5">
        <v>0</v>
      </c>
      <c r="U104" s="2" t="s">
        <v>20</v>
      </c>
      <c r="V104" s="5">
        <v>0</v>
      </c>
      <c r="W104" s="5">
        <v>0</v>
      </c>
      <c r="X104" s="5">
        <v>0</v>
      </c>
    </row>
    <row r="105" spans="1:24" outlineLevel="3">
      <c r="A105" s="2" t="s">
        <v>127</v>
      </c>
      <c r="B105" s="3">
        <v>444444525</v>
      </c>
      <c r="C105" s="3">
        <v>0</v>
      </c>
      <c r="D105" s="2" t="s">
        <v>128</v>
      </c>
      <c r="E105" s="2">
        <v>25248600</v>
      </c>
      <c r="F105" s="2" t="s">
        <v>129</v>
      </c>
      <c r="G105" s="2" t="s">
        <v>130</v>
      </c>
      <c r="H105" s="2" t="s">
        <v>28</v>
      </c>
      <c r="I105" s="2" t="s">
        <v>29</v>
      </c>
      <c r="J105" s="2" t="s">
        <v>30</v>
      </c>
      <c r="K105" s="2" t="s">
        <v>131</v>
      </c>
      <c r="L105" s="2" t="s">
        <v>132</v>
      </c>
      <c r="M105" s="2" t="s">
        <v>33</v>
      </c>
      <c r="N105" s="3">
        <v>0</v>
      </c>
      <c r="O105" s="2" t="s">
        <v>34</v>
      </c>
      <c r="P105" s="2" t="s">
        <v>153</v>
      </c>
      <c r="Q105" s="4">
        <v>45306</v>
      </c>
      <c r="R105" s="4">
        <v>45306</v>
      </c>
      <c r="S105" s="3">
        <v>-796</v>
      </c>
      <c r="T105" s="5">
        <v>0</v>
      </c>
      <c r="U105" s="2" t="s">
        <v>20</v>
      </c>
      <c r="V105" s="5">
        <v>0</v>
      </c>
      <c r="W105" s="5">
        <v>0</v>
      </c>
      <c r="X105" s="5">
        <v>0</v>
      </c>
    </row>
    <row r="106" spans="1:24" outlineLevel="2">
      <c r="M106" s="14" t="s">
        <v>346</v>
      </c>
      <c r="T106" s="5">
        <f>SUBTOTAL(9,T85:T105)</f>
        <v>0</v>
      </c>
      <c r="V106" s="5">
        <f>SUBTOTAL(9,V85:V105)</f>
        <v>0</v>
      </c>
      <c r="W106" s="5">
        <f>SUBTOTAL(9,W85:W105)</f>
        <v>0</v>
      </c>
    </row>
    <row r="107" spans="1:24" outlineLevel="1">
      <c r="A107" s="14" t="s">
        <v>327</v>
      </c>
      <c r="T107" s="5">
        <f>SUBTOTAL(9,T85:T105)</f>
        <v>0</v>
      </c>
      <c r="V107" s="5">
        <f>SUBTOTAL(9,V85:V105)</f>
        <v>0</v>
      </c>
      <c r="W107" s="5">
        <f>SUBTOTAL(9,W85:W105)</f>
        <v>0</v>
      </c>
    </row>
    <row r="108" spans="1:24" outlineLevel="3">
      <c r="A108" s="2" t="s">
        <v>154</v>
      </c>
      <c r="B108" s="3">
        <v>444444526</v>
      </c>
      <c r="C108" s="3">
        <v>0</v>
      </c>
      <c r="D108" s="2" t="s">
        <v>155</v>
      </c>
      <c r="E108" s="2">
        <v>26005475</v>
      </c>
      <c r="F108" s="2" t="s">
        <v>156</v>
      </c>
      <c r="G108" s="2" t="s">
        <v>63</v>
      </c>
      <c r="H108" s="2" t="s">
        <v>28</v>
      </c>
      <c r="I108" s="2" t="s">
        <v>29</v>
      </c>
      <c r="J108" s="2" t="s">
        <v>30</v>
      </c>
      <c r="K108" s="2" t="s">
        <v>50</v>
      </c>
      <c r="L108" s="2" t="s">
        <v>51</v>
      </c>
      <c r="M108" s="2" t="s">
        <v>33</v>
      </c>
      <c r="N108" s="3">
        <v>0</v>
      </c>
      <c r="O108" s="2" t="s">
        <v>34</v>
      </c>
      <c r="P108" s="2" t="s">
        <v>157</v>
      </c>
      <c r="Q108" s="4">
        <v>44680</v>
      </c>
      <c r="R108" s="4">
        <v>44741</v>
      </c>
      <c r="S108" s="3">
        <v>-1352</v>
      </c>
      <c r="T108" s="5">
        <v>0</v>
      </c>
      <c r="U108" s="2" t="s">
        <v>20</v>
      </c>
      <c r="V108" s="5">
        <v>0</v>
      </c>
      <c r="W108" s="5">
        <v>0</v>
      </c>
      <c r="X108" s="5">
        <v>0</v>
      </c>
    </row>
    <row r="109" spans="1:24" outlineLevel="3">
      <c r="A109" s="2" t="s">
        <v>154</v>
      </c>
      <c r="B109" s="3">
        <v>444444526</v>
      </c>
      <c r="C109" s="3">
        <v>0</v>
      </c>
      <c r="D109" s="2" t="s">
        <v>155</v>
      </c>
      <c r="E109" s="2">
        <v>26005475</v>
      </c>
      <c r="F109" s="2" t="s">
        <v>156</v>
      </c>
      <c r="G109" s="2" t="s">
        <v>63</v>
      </c>
      <c r="H109" s="2" t="s">
        <v>28</v>
      </c>
      <c r="I109" s="2" t="s">
        <v>29</v>
      </c>
      <c r="J109" s="2" t="s">
        <v>30</v>
      </c>
      <c r="K109" s="2" t="s">
        <v>50</v>
      </c>
      <c r="L109" s="2" t="s">
        <v>51</v>
      </c>
      <c r="M109" s="2" t="s">
        <v>33</v>
      </c>
      <c r="N109" s="3">
        <v>0</v>
      </c>
      <c r="O109" s="2" t="s">
        <v>34</v>
      </c>
      <c r="P109" s="2" t="s">
        <v>158</v>
      </c>
      <c r="Q109" s="4">
        <v>44882</v>
      </c>
      <c r="R109" s="4">
        <v>44943</v>
      </c>
      <c r="S109" s="3">
        <v>-1154</v>
      </c>
      <c r="T109" s="5">
        <v>0</v>
      </c>
      <c r="U109" s="2" t="s">
        <v>20</v>
      </c>
      <c r="V109" s="5">
        <v>0</v>
      </c>
      <c r="W109" s="5">
        <v>0</v>
      </c>
      <c r="X109" s="5">
        <v>0</v>
      </c>
    </row>
    <row r="110" spans="1:24" outlineLevel="2">
      <c r="M110" s="14" t="s">
        <v>346</v>
      </c>
      <c r="T110" s="5">
        <f>SUBTOTAL(9,T108:T109)</f>
        <v>0</v>
      </c>
      <c r="V110" s="5">
        <f>SUBTOTAL(9,V108:V109)</f>
        <v>0</v>
      </c>
      <c r="W110" s="5">
        <f>SUBTOTAL(9,W108:W109)</f>
        <v>0</v>
      </c>
    </row>
    <row r="111" spans="1:24" outlineLevel="1">
      <c r="A111" s="14" t="s">
        <v>328</v>
      </c>
      <c r="T111" s="5">
        <f>SUBTOTAL(9,T108:T109)</f>
        <v>0</v>
      </c>
      <c r="V111" s="5">
        <f>SUBTOTAL(9,V108:V109)</f>
        <v>0</v>
      </c>
      <c r="W111" s="5">
        <f>SUBTOTAL(9,W108:W109)</f>
        <v>0</v>
      </c>
    </row>
    <row r="112" spans="1:24" outlineLevel="3">
      <c r="A112" s="2" t="s">
        <v>159</v>
      </c>
      <c r="B112" s="3">
        <v>444444527</v>
      </c>
      <c r="C112" s="3">
        <v>0</v>
      </c>
      <c r="D112" s="2" t="s">
        <v>160</v>
      </c>
      <c r="E112" s="2">
        <v>50322775380</v>
      </c>
      <c r="F112" s="2" t="s">
        <v>161</v>
      </c>
      <c r="G112" s="2" t="s">
        <v>162</v>
      </c>
      <c r="H112" s="2" t="s">
        <v>28</v>
      </c>
      <c r="I112" s="2" t="s">
        <v>29</v>
      </c>
      <c r="J112" s="2" t="s">
        <v>30</v>
      </c>
      <c r="K112" s="2" t="s">
        <v>131</v>
      </c>
      <c r="L112" s="2" t="s">
        <v>132</v>
      </c>
      <c r="M112" s="2" t="s">
        <v>33</v>
      </c>
      <c r="N112" s="3">
        <v>0</v>
      </c>
      <c r="O112" s="2" t="s">
        <v>34</v>
      </c>
      <c r="P112" s="2" t="s">
        <v>163</v>
      </c>
      <c r="Q112" s="4">
        <v>44671</v>
      </c>
      <c r="R112" s="4">
        <v>44731</v>
      </c>
      <c r="S112" s="3">
        <v>-1362</v>
      </c>
      <c r="T112" s="5">
        <v>0</v>
      </c>
      <c r="U112" s="2" t="s">
        <v>20</v>
      </c>
      <c r="V112" s="5">
        <v>0</v>
      </c>
      <c r="W112" s="5">
        <v>0</v>
      </c>
      <c r="X112" s="5">
        <v>0</v>
      </c>
    </row>
    <row r="113" spans="1:24" outlineLevel="3">
      <c r="A113" s="2" t="s">
        <v>159</v>
      </c>
      <c r="B113" s="3">
        <v>444444527</v>
      </c>
      <c r="C113" s="3">
        <v>0</v>
      </c>
      <c r="D113" s="2" t="s">
        <v>160</v>
      </c>
      <c r="E113" s="2">
        <v>50322775380</v>
      </c>
      <c r="F113" s="2" t="s">
        <v>161</v>
      </c>
      <c r="G113" s="2" t="s">
        <v>162</v>
      </c>
      <c r="H113" s="2" t="s">
        <v>28</v>
      </c>
      <c r="I113" s="2" t="s">
        <v>29</v>
      </c>
      <c r="J113" s="2" t="s">
        <v>30</v>
      </c>
      <c r="K113" s="2" t="s">
        <v>131</v>
      </c>
      <c r="L113" s="2" t="s">
        <v>132</v>
      </c>
      <c r="M113" s="2" t="s">
        <v>33</v>
      </c>
      <c r="N113" s="3">
        <v>0</v>
      </c>
      <c r="O113" s="2" t="s">
        <v>34</v>
      </c>
      <c r="P113" s="2" t="s">
        <v>164</v>
      </c>
      <c r="Q113" s="4">
        <v>44720</v>
      </c>
      <c r="R113" s="4">
        <v>44780</v>
      </c>
      <c r="S113" s="3">
        <v>-1314</v>
      </c>
      <c r="T113" s="5">
        <v>0</v>
      </c>
      <c r="U113" s="2" t="s">
        <v>20</v>
      </c>
      <c r="V113" s="5">
        <v>0</v>
      </c>
      <c r="W113" s="5">
        <v>0</v>
      </c>
      <c r="X113" s="5">
        <v>0</v>
      </c>
    </row>
    <row r="114" spans="1:24" outlineLevel="3">
      <c r="A114" s="2" t="s">
        <v>159</v>
      </c>
      <c r="B114" s="3">
        <v>444444527</v>
      </c>
      <c r="C114" s="3">
        <v>0</v>
      </c>
      <c r="D114" s="2" t="s">
        <v>160</v>
      </c>
      <c r="E114" s="2">
        <v>50322775380</v>
      </c>
      <c r="F114" s="2" t="s">
        <v>161</v>
      </c>
      <c r="G114" s="2" t="s">
        <v>162</v>
      </c>
      <c r="H114" s="2" t="s">
        <v>28</v>
      </c>
      <c r="I114" s="2" t="s">
        <v>29</v>
      </c>
      <c r="J114" s="2" t="s">
        <v>30</v>
      </c>
      <c r="K114" s="2" t="s">
        <v>131</v>
      </c>
      <c r="L114" s="2" t="s">
        <v>132</v>
      </c>
      <c r="M114" s="2" t="s">
        <v>33</v>
      </c>
      <c r="N114" s="3">
        <v>0</v>
      </c>
      <c r="O114" s="2" t="s">
        <v>34</v>
      </c>
      <c r="P114" s="2" t="s">
        <v>165</v>
      </c>
      <c r="Q114" s="4">
        <v>44890</v>
      </c>
      <c r="R114" s="4">
        <v>44950</v>
      </c>
      <c r="S114" s="3">
        <v>-1147</v>
      </c>
      <c r="T114" s="5">
        <v>0</v>
      </c>
      <c r="U114" s="2" t="s">
        <v>20</v>
      </c>
      <c r="V114" s="5">
        <v>0</v>
      </c>
      <c r="W114" s="5">
        <v>0</v>
      </c>
      <c r="X114" s="5">
        <v>0</v>
      </c>
    </row>
    <row r="115" spans="1:24" outlineLevel="3">
      <c r="A115" s="2" t="s">
        <v>159</v>
      </c>
      <c r="B115" s="3">
        <v>444444527</v>
      </c>
      <c r="C115" s="3">
        <v>0</v>
      </c>
      <c r="D115" s="2" t="s">
        <v>160</v>
      </c>
      <c r="E115" s="2">
        <v>50322775380</v>
      </c>
      <c r="F115" s="2" t="s">
        <v>161</v>
      </c>
      <c r="G115" s="2" t="s">
        <v>162</v>
      </c>
      <c r="H115" s="2" t="s">
        <v>28</v>
      </c>
      <c r="I115" s="2" t="s">
        <v>29</v>
      </c>
      <c r="J115" s="2" t="s">
        <v>30</v>
      </c>
      <c r="K115" s="2" t="s">
        <v>131</v>
      </c>
      <c r="L115" s="2" t="s">
        <v>132</v>
      </c>
      <c r="M115" s="2" t="s">
        <v>33</v>
      </c>
      <c r="N115" s="3">
        <v>0</v>
      </c>
      <c r="O115" s="2" t="s">
        <v>34</v>
      </c>
      <c r="P115" s="2" t="s">
        <v>166</v>
      </c>
      <c r="Q115" s="4">
        <v>45092</v>
      </c>
      <c r="R115" s="4">
        <v>45152</v>
      </c>
      <c r="S115" s="3">
        <v>-947</v>
      </c>
      <c r="T115" s="5">
        <v>0</v>
      </c>
      <c r="U115" s="2" t="s">
        <v>20</v>
      </c>
      <c r="V115" s="5">
        <v>0</v>
      </c>
      <c r="W115" s="5">
        <v>0</v>
      </c>
      <c r="X115" s="5">
        <v>0</v>
      </c>
    </row>
    <row r="116" spans="1:24" outlineLevel="3">
      <c r="A116" s="2" t="s">
        <v>159</v>
      </c>
      <c r="B116" s="3">
        <v>444444527</v>
      </c>
      <c r="C116" s="3">
        <v>0</v>
      </c>
      <c r="D116" s="2" t="s">
        <v>160</v>
      </c>
      <c r="E116" s="2">
        <v>50322775380</v>
      </c>
      <c r="F116" s="2" t="s">
        <v>161</v>
      </c>
      <c r="G116" s="2" t="s">
        <v>162</v>
      </c>
      <c r="H116" s="2" t="s">
        <v>28</v>
      </c>
      <c r="I116" s="2" t="s">
        <v>29</v>
      </c>
      <c r="J116" s="2" t="s">
        <v>30</v>
      </c>
      <c r="K116" s="2" t="s">
        <v>131</v>
      </c>
      <c r="L116" s="2" t="s">
        <v>132</v>
      </c>
      <c r="M116" s="2" t="s">
        <v>33</v>
      </c>
      <c r="N116" s="3">
        <v>0</v>
      </c>
      <c r="O116" s="2" t="s">
        <v>34</v>
      </c>
      <c r="P116" s="2" t="s">
        <v>167</v>
      </c>
      <c r="Q116" s="4">
        <v>45272</v>
      </c>
      <c r="R116" s="4">
        <v>45333</v>
      </c>
      <c r="S116" s="3">
        <v>-770</v>
      </c>
      <c r="T116" s="5">
        <v>0</v>
      </c>
      <c r="U116" s="2" t="s">
        <v>20</v>
      </c>
      <c r="V116" s="5">
        <v>0</v>
      </c>
      <c r="W116" s="5">
        <v>0</v>
      </c>
      <c r="X116" s="5">
        <v>0</v>
      </c>
    </row>
    <row r="117" spans="1:24" outlineLevel="2">
      <c r="M117" s="14" t="s">
        <v>346</v>
      </c>
      <c r="T117" s="5">
        <f>SUBTOTAL(9,T112:T116)</f>
        <v>0</v>
      </c>
      <c r="V117" s="5">
        <f>SUBTOTAL(9,V112:V116)</f>
        <v>0</v>
      </c>
      <c r="W117" s="5">
        <f>SUBTOTAL(9,W112:W116)</f>
        <v>0</v>
      </c>
    </row>
    <row r="118" spans="1:24" outlineLevel="1">
      <c r="A118" s="14" t="s">
        <v>329</v>
      </c>
      <c r="T118" s="5">
        <f>SUBTOTAL(9,T112:T116)</f>
        <v>0</v>
      </c>
      <c r="V118" s="5">
        <f>SUBTOTAL(9,V112:V116)</f>
        <v>0</v>
      </c>
      <c r="W118" s="5">
        <f>SUBTOTAL(9,W112:W116)</f>
        <v>0</v>
      </c>
    </row>
    <row r="119" spans="1:24" outlineLevel="3">
      <c r="A119" s="2" t="s">
        <v>168</v>
      </c>
      <c r="B119" s="3">
        <v>444444528</v>
      </c>
      <c r="C119" s="3">
        <v>0</v>
      </c>
      <c r="D119" s="2" t="s">
        <v>169</v>
      </c>
      <c r="E119" s="2">
        <v>24367000</v>
      </c>
      <c r="F119" s="2" t="s">
        <v>170</v>
      </c>
      <c r="G119" s="2" t="s">
        <v>171</v>
      </c>
      <c r="H119" s="2" t="s">
        <v>28</v>
      </c>
      <c r="I119" s="2" t="s">
        <v>29</v>
      </c>
      <c r="J119" s="2" t="s">
        <v>49</v>
      </c>
      <c r="K119" s="2" t="s">
        <v>172</v>
      </c>
      <c r="L119" s="2" t="s">
        <v>173</v>
      </c>
      <c r="M119" s="2" t="s">
        <v>33</v>
      </c>
      <c r="N119" s="3">
        <v>0</v>
      </c>
      <c r="O119" s="2" t="s">
        <v>34</v>
      </c>
      <c r="P119" s="2" t="s">
        <v>174</v>
      </c>
      <c r="Q119" s="4">
        <v>43929</v>
      </c>
      <c r="R119" s="4">
        <v>43929</v>
      </c>
      <c r="S119" s="3">
        <v>-2153</v>
      </c>
      <c r="T119" s="5">
        <v>0</v>
      </c>
      <c r="U119" s="2" t="s">
        <v>20</v>
      </c>
      <c r="V119" s="5">
        <v>0</v>
      </c>
      <c r="W119" s="5">
        <v>0</v>
      </c>
      <c r="X119" s="5">
        <v>0</v>
      </c>
    </row>
    <row r="120" spans="1:24" outlineLevel="3">
      <c r="A120" s="2" t="s">
        <v>168</v>
      </c>
      <c r="B120" s="3">
        <v>444444528</v>
      </c>
      <c r="C120" s="3">
        <v>0</v>
      </c>
      <c r="D120" s="2" t="s">
        <v>169</v>
      </c>
      <c r="E120" s="2">
        <v>24367000</v>
      </c>
      <c r="F120" s="2" t="s">
        <v>170</v>
      </c>
      <c r="G120" s="2" t="s">
        <v>171</v>
      </c>
      <c r="H120" s="2" t="s">
        <v>28</v>
      </c>
      <c r="I120" s="2" t="s">
        <v>29</v>
      </c>
      <c r="J120" s="2" t="s">
        <v>49</v>
      </c>
      <c r="K120" s="2" t="s">
        <v>172</v>
      </c>
      <c r="L120" s="2" t="s">
        <v>173</v>
      </c>
      <c r="M120" s="2" t="s">
        <v>33</v>
      </c>
      <c r="N120" s="3">
        <v>0</v>
      </c>
      <c r="O120" s="2" t="s">
        <v>34</v>
      </c>
      <c r="P120" s="2" t="s">
        <v>175</v>
      </c>
      <c r="Q120" s="4">
        <v>44029</v>
      </c>
      <c r="R120" s="4">
        <v>44090</v>
      </c>
      <c r="S120" s="3">
        <v>-1995</v>
      </c>
      <c r="T120" s="5">
        <v>0</v>
      </c>
      <c r="U120" s="2" t="s">
        <v>20</v>
      </c>
      <c r="V120" s="5">
        <v>0</v>
      </c>
      <c r="W120" s="5">
        <v>0</v>
      </c>
      <c r="X120" s="5">
        <v>0</v>
      </c>
    </row>
    <row r="121" spans="1:24" outlineLevel="3">
      <c r="A121" s="2" t="s">
        <v>168</v>
      </c>
      <c r="B121" s="3">
        <v>444444528</v>
      </c>
      <c r="C121" s="3">
        <v>0</v>
      </c>
      <c r="D121" s="2" t="s">
        <v>169</v>
      </c>
      <c r="E121" s="2">
        <v>24367000</v>
      </c>
      <c r="F121" s="2" t="s">
        <v>170</v>
      </c>
      <c r="G121" s="2" t="s">
        <v>171</v>
      </c>
      <c r="H121" s="2" t="s">
        <v>28</v>
      </c>
      <c r="I121" s="2" t="s">
        <v>29</v>
      </c>
      <c r="J121" s="2" t="s">
        <v>49</v>
      </c>
      <c r="K121" s="2" t="s">
        <v>172</v>
      </c>
      <c r="L121" s="2" t="s">
        <v>173</v>
      </c>
      <c r="M121" s="2" t="s">
        <v>33</v>
      </c>
      <c r="N121" s="3">
        <v>0</v>
      </c>
      <c r="O121" s="2" t="s">
        <v>34</v>
      </c>
      <c r="P121" s="2" t="s">
        <v>176</v>
      </c>
      <c r="Q121" s="4">
        <v>44400</v>
      </c>
      <c r="R121" s="4">
        <v>44461</v>
      </c>
      <c r="S121" s="3">
        <v>-1629</v>
      </c>
      <c r="T121" s="5">
        <v>0</v>
      </c>
      <c r="U121" s="2" t="s">
        <v>20</v>
      </c>
      <c r="V121" s="5">
        <v>0</v>
      </c>
      <c r="W121" s="5">
        <v>0</v>
      </c>
      <c r="X121" s="5">
        <v>0</v>
      </c>
    </row>
    <row r="122" spans="1:24" outlineLevel="3">
      <c r="A122" s="2" t="s">
        <v>168</v>
      </c>
      <c r="B122" s="3">
        <v>444444528</v>
      </c>
      <c r="C122" s="3">
        <v>0</v>
      </c>
      <c r="D122" s="2" t="s">
        <v>169</v>
      </c>
      <c r="E122" s="2">
        <v>24367000</v>
      </c>
      <c r="F122" s="2" t="s">
        <v>170</v>
      </c>
      <c r="G122" s="2" t="s">
        <v>171</v>
      </c>
      <c r="H122" s="2" t="s">
        <v>28</v>
      </c>
      <c r="I122" s="2" t="s">
        <v>29</v>
      </c>
      <c r="J122" s="2" t="s">
        <v>30</v>
      </c>
      <c r="K122" s="2" t="s">
        <v>172</v>
      </c>
      <c r="L122" s="2" t="s">
        <v>173</v>
      </c>
      <c r="M122" s="2" t="s">
        <v>33</v>
      </c>
      <c r="N122" s="3">
        <v>0</v>
      </c>
      <c r="O122" s="2" t="s">
        <v>34</v>
      </c>
      <c r="P122" s="2" t="s">
        <v>177</v>
      </c>
      <c r="Q122" s="4">
        <v>44742</v>
      </c>
      <c r="R122" s="4">
        <v>44742</v>
      </c>
      <c r="S122" s="3">
        <v>-1351</v>
      </c>
      <c r="T122" s="5">
        <v>0</v>
      </c>
      <c r="U122" s="2" t="s">
        <v>20</v>
      </c>
      <c r="V122" s="5">
        <v>0</v>
      </c>
      <c r="W122" s="5">
        <v>0</v>
      </c>
      <c r="X122" s="5">
        <v>0</v>
      </c>
    </row>
    <row r="123" spans="1:24" outlineLevel="3">
      <c r="A123" s="2" t="s">
        <v>168</v>
      </c>
      <c r="B123" s="3">
        <v>444444528</v>
      </c>
      <c r="C123" s="3">
        <v>0</v>
      </c>
      <c r="D123" s="2" t="s">
        <v>169</v>
      </c>
      <c r="E123" s="2">
        <v>24367000</v>
      </c>
      <c r="F123" s="2" t="s">
        <v>170</v>
      </c>
      <c r="G123" s="2" t="s">
        <v>171</v>
      </c>
      <c r="H123" s="2" t="s">
        <v>28</v>
      </c>
      <c r="I123" s="2" t="s">
        <v>29</v>
      </c>
      <c r="J123" s="2" t="s">
        <v>30</v>
      </c>
      <c r="K123" s="2" t="s">
        <v>172</v>
      </c>
      <c r="L123" s="2" t="s">
        <v>173</v>
      </c>
      <c r="M123" s="2" t="s">
        <v>33</v>
      </c>
      <c r="N123" s="3">
        <v>0</v>
      </c>
      <c r="O123" s="2" t="s">
        <v>34</v>
      </c>
      <c r="P123" s="2" t="s">
        <v>178</v>
      </c>
      <c r="Q123" s="4">
        <v>44722</v>
      </c>
      <c r="R123" s="4">
        <v>44782</v>
      </c>
      <c r="S123" s="3">
        <v>-1312</v>
      </c>
      <c r="T123" s="5">
        <v>0</v>
      </c>
      <c r="U123" s="2" t="s">
        <v>20</v>
      </c>
      <c r="V123" s="5">
        <v>0</v>
      </c>
      <c r="W123" s="5">
        <v>0</v>
      </c>
      <c r="X123" s="5">
        <v>0</v>
      </c>
    </row>
    <row r="124" spans="1:24" outlineLevel="3">
      <c r="A124" s="2" t="s">
        <v>168</v>
      </c>
      <c r="B124" s="3">
        <v>444444528</v>
      </c>
      <c r="C124" s="3">
        <v>0</v>
      </c>
      <c r="D124" s="2" t="s">
        <v>169</v>
      </c>
      <c r="E124" s="2">
        <v>24367000</v>
      </c>
      <c r="F124" s="2" t="s">
        <v>170</v>
      </c>
      <c r="G124" s="2" t="s">
        <v>171</v>
      </c>
      <c r="H124" s="2" t="s">
        <v>28</v>
      </c>
      <c r="I124" s="2" t="s">
        <v>29</v>
      </c>
      <c r="J124" s="2" t="s">
        <v>30</v>
      </c>
      <c r="K124" s="2" t="s">
        <v>172</v>
      </c>
      <c r="L124" s="2" t="s">
        <v>173</v>
      </c>
      <c r="M124" s="2" t="s">
        <v>33</v>
      </c>
      <c r="N124" s="3">
        <v>0</v>
      </c>
      <c r="O124" s="2" t="s">
        <v>34</v>
      </c>
      <c r="P124" s="2" t="s">
        <v>179</v>
      </c>
      <c r="Q124" s="4">
        <v>44809</v>
      </c>
      <c r="R124" s="4">
        <v>44809</v>
      </c>
      <c r="S124" s="3">
        <v>-1286</v>
      </c>
      <c r="T124" s="5">
        <v>0</v>
      </c>
      <c r="U124" s="2" t="s">
        <v>20</v>
      </c>
      <c r="V124" s="5">
        <v>0</v>
      </c>
      <c r="W124" s="5">
        <v>0</v>
      </c>
      <c r="X124" s="5">
        <v>0</v>
      </c>
    </row>
    <row r="125" spans="1:24" outlineLevel="3">
      <c r="A125" s="2" t="s">
        <v>168</v>
      </c>
      <c r="B125" s="3">
        <v>444444528</v>
      </c>
      <c r="C125" s="3">
        <v>0</v>
      </c>
      <c r="D125" s="2" t="s">
        <v>169</v>
      </c>
      <c r="E125" s="2">
        <v>24367000</v>
      </c>
      <c r="F125" s="2" t="s">
        <v>170</v>
      </c>
      <c r="G125" s="2" t="s">
        <v>171</v>
      </c>
      <c r="H125" s="2" t="s">
        <v>28</v>
      </c>
      <c r="I125" s="2" t="s">
        <v>29</v>
      </c>
      <c r="J125" s="2" t="s">
        <v>30</v>
      </c>
      <c r="K125" s="2" t="s">
        <v>172</v>
      </c>
      <c r="L125" s="2" t="s">
        <v>173</v>
      </c>
      <c r="M125" s="2" t="s">
        <v>33</v>
      </c>
      <c r="N125" s="3">
        <v>0</v>
      </c>
      <c r="O125" s="2" t="s">
        <v>34</v>
      </c>
      <c r="P125" s="2" t="s">
        <v>180</v>
      </c>
      <c r="Q125" s="4">
        <v>44809</v>
      </c>
      <c r="R125" s="4">
        <v>44809</v>
      </c>
      <c r="S125" s="3">
        <v>-1286</v>
      </c>
      <c r="T125" s="5">
        <v>0</v>
      </c>
      <c r="U125" s="2" t="s">
        <v>20</v>
      </c>
      <c r="V125" s="5">
        <v>0</v>
      </c>
      <c r="W125" s="5">
        <v>0</v>
      </c>
      <c r="X125" s="5">
        <v>0</v>
      </c>
    </row>
    <row r="126" spans="1:24" outlineLevel="3">
      <c r="A126" s="2" t="s">
        <v>168</v>
      </c>
      <c r="B126" s="3">
        <v>444444528</v>
      </c>
      <c r="C126" s="3">
        <v>0</v>
      </c>
      <c r="D126" s="2" t="s">
        <v>169</v>
      </c>
      <c r="E126" s="2">
        <v>24367000</v>
      </c>
      <c r="F126" s="2" t="s">
        <v>170</v>
      </c>
      <c r="G126" s="2" t="s">
        <v>171</v>
      </c>
      <c r="H126" s="2" t="s">
        <v>28</v>
      </c>
      <c r="I126" s="2" t="s">
        <v>29</v>
      </c>
      <c r="J126" s="2" t="s">
        <v>30</v>
      </c>
      <c r="K126" s="2" t="s">
        <v>172</v>
      </c>
      <c r="L126" s="2" t="s">
        <v>173</v>
      </c>
      <c r="M126" s="2" t="s">
        <v>33</v>
      </c>
      <c r="N126" s="3">
        <v>0</v>
      </c>
      <c r="O126" s="2" t="s">
        <v>34</v>
      </c>
      <c r="P126" s="2" t="s">
        <v>181</v>
      </c>
      <c r="Q126" s="4">
        <v>44755</v>
      </c>
      <c r="R126" s="4">
        <v>44816</v>
      </c>
      <c r="S126" s="3">
        <v>-1279</v>
      </c>
      <c r="T126" s="5">
        <v>0</v>
      </c>
      <c r="U126" s="2" t="s">
        <v>20</v>
      </c>
      <c r="V126" s="5">
        <v>0</v>
      </c>
      <c r="W126" s="5">
        <v>0</v>
      </c>
      <c r="X126" s="5">
        <v>0</v>
      </c>
    </row>
    <row r="127" spans="1:24" outlineLevel="3">
      <c r="A127" s="2" t="s">
        <v>168</v>
      </c>
      <c r="B127" s="3">
        <v>444444528</v>
      </c>
      <c r="C127" s="3">
        <v>0</v>
      </c>
      <c r="D127" s="2" t="s">
        <v>169</v>
      </c>
      <c r="E127" s="2">
        <v>24367000</v>
      </c>
      <c r="F127" s="2" t="s">
        <v>170</v>
      </c>
      <c r="G127" s="2" t="s">
        <v>171</v>
      </c>
      <c r="H127" s="2" t="s">
        <v>28</v>
      </c>
      <c r="I127" s="2" t="s">
        <v>29</v>
      </c>
      <c r="J127" s="2" t="s">
        <v>30</v>
      </c>
      <c r="K127" s="2" t="s">
        <v>172</v>
      </c>
      <c r="L127" s="2" t="s">
        <v>173</v>
      </c>
      <c r="M127" s="2" t="s">
        <v>33</v>
      </c>
      <c r="N127" s="3">
        <v>0</v>
      </c>
      <c r="O127" s="2" t="s">
        <v>34</v>
      </c>
      <c r="P127" s="2" t="s">
        <v>182</v>
      </c>
      <c r="Q127" s="4">
        <v>44764</v>
      </c>
      <c r="R127" s="4">
        <v>44825</v>
      </c>
      <c r="S127" s="3">
        <v>-1270</v>
      </c>
      <c r="T127" s="5">
        <v>0</v>
      </c>
      <c r="U127" s="2" t="s">
        <v>20</v>
      </c>
      <c r="V127" s="5">
        <v>0</v>
      </c>
      <c r="W127" s="5">
        <v>0</v>
      </c>
      <c r="X127" s="5">
        <v>0</v>
      </c>
    </row>
    <row r="128" spans="1:24" outlineLevel="3">
      <c r="A128" s="2" t="s">
        <v>168</v>
      </c>
      <c r="B128" s="3">
        <v>444444528</v>
      </c>
      <c r="C128" s="3">
        <v>0</v>
      </c>
      <c r="D128" s="2" t="s">
        <v>169</v>
      </c>
      <c r="E128" s="2">
        <v>24367000</v>
      </c>
      <c r="F128" s="2" t="s">
        <v>170</v>
      </c>
      <c r="G128" s="2" t="s">
        <v>171</v>
      </c>
      <c r="H128" s="2" t="s">
        <v>28</v>
      </c>
      <c r="I128" s="2" t="s">
        <v>29</v>
      </c>
      <c r="J128" s="2" t="s">
        <v>30</v>
      </c>
      <c r="K128" s="2" t="s">
        <v>172</v>
      </c>
      <c r="L128" s="2" t="s">
        <v>173</v>
      </c>
      <c r="M128" s="2" t="s">
        <v>33</v>
      </c>
      <c r="N128" s="3">
        <v>0</v>
      </c>
      <c r="O128" s="2" t="s">
        <v>34</v>
      </c>
      <c r="P128" s="2" t="s">
        <v>183</v>
      </c>
      <c r="Q128" s="4">
        <v>44887</v>
      </c>
      <c r="R128" s="4">
        <v>44947</v>
      </c>
      <c r="S128" s="3">
        <v>-1150</v>
      </c>
      <c r="T128" s="5">
        <v>0</v>
      </c>
      <c r="U128" s="2" t="s">
        <v>20</v>
      </c>
      <c r="V128" s="5">
        <v>0</v>
      </c>
      <c r="W128" s="5">
        <v>0</v>
      </c>
      <c r="X128" s="5">
        <v>0</v>
      </c>
    </row>
    <row r="129" spans="1:24" outlineLevel="3">
      <c r="A129" s="2" t="s">
        <v>168</v>
      </c>
      <c r="B129" s="3">
        <v>444444528</v>
      </c>
      <c r="C129" s="3">
        <v>0</v>
      </c>
      <c r="D129" s="2" t="s">
        <v>169</v>
      </c>
      <c r="E129" s="2">
        <v>24367000</v>
      </c>
      <c r="F129" s="2" t="s">
        <v>170</v>
      </c>
      <c r="G129" s="2" t="s">
        <v>171</v>
      </c>
      <c r="H129" s="2" t="s">
        <v>28</v>
      </c>
      <c r="I129" s="2" t="s">
        <v>29</v>
      </c>
      <c r="J129" s="2" t="s">
        <v>30</v>
      </c>
      <c r="K129" s="2" t="s">
        <v>172</v>
      </c>
      <c r="L129" s="2" t="s">
        <v>173</v>
      </c>
      <c r="M129" s="2" t="s">
        <v>33</v>
      </c>
      <c r="N129" s="3">
        <v>0</v>
      </c>
      <c r="O129" s="2" t="s">
        <v>34</v>
      </c>
      <c r="P129" s="2" t="s">
        <v>184</v>
      </c>
      <c r="Q129" s="4">
        <v>44980</v>
      </c>
      <c r="R129" s="4">
        <v>45038</v>
      </c>
      <c r="S129" s="3">
        <v>-1059</v>
      </c>
      <c r="T129" s="5">
        <v>0</v>
      </c>
      <c r="U129" s="2" t="s">
        <v>20</v>
      </c>
      <c r="V129" s="5">
        <v>0</v>
      </c>
      <c r="W129" s="5">
        <v>0</v>
      </c>
      <c r="X129" s="5">
        <v>0</v>
      </c>
    </row>
    <row r="130" spans="1:24" outlineLevel="3">
      <c r="A130" s="2" t="s">
        <v>168</v>
      </c>
      <c r="B130" s="3">
        <v>444444528</v>
      </c>
      <c r="C130" s="3">
        <v>0</v>
      </c>
      <c r="D130" s="2" t="s">
        <v>169</v>
      </c>
      <c r="E130" s="2">
        <v>24367000</v>
      </c>
      <c r="F130" s="2" t="s">
        <v>170</v>
      </c>
      <c r="G130" s="2" t="s">
        <v>171</v>
      </c>
      <c r="H130" s="2" t="s">
        <v>28</v>
      </c>
      <c r="I130" s="2" t="s">
        <v>29</v>
      </c>
      <c r="J130" s="2" t="s">
        <v>30</v>
      </c>
      <c r="K130" s="2" t="s">
        <v>172</v>
      </c>
      <c r="L130" s="2" t="s">
        <v>173</v>
      </c>
      <c r="M130" s="2" t="s">
        <v>33</v>
      </c>
      <c r="N130" s="3">
        <v>0</v>
      </c>
      <c r="O130" s="2" t="s">
        <v>34</v>
      </c>
      <c r="P130" s="2" t="s">
        <v>185</v>
      </c>
      <c r="Q130" s="4">
        <v>45100</v>
      </c>
      <c r="R130" s="4">
        <v>45160</v>
      </c>
      <c r="S130" s="3">
        <v>-939</v>
      </c>
      <c r="T130" s="5">
        <v>0</v>
      </c>
      <c r="U130" s="2" t="s">
        <v>20</v>
      </c>
      <c r="V130" s="5">
        <v>0</v>
      </c>
      <c r="W130" s="5">
        <v>0</v>
      </c>
      <c r="X130" s="5">
        <v>0</v>
      </c>
    </row>
    <row r="131" spans="1:24" outlineLevel="3">
      <c r="A131" s="2" t="s">
        <v>168</v>
      </c>
      <c r="B131" s="3">
        <v>444444528</v>
      </c>
      <c r="C131" s="3">
        <v>0</v>
      </c>
      <c r="D131" s="2" t="s">
        <v>169</v>
      </c>
      <c r="E131" s="2">
        <v>24367000</v>
      </c>
      <c r="F131" s="2" t="s">
        <v>170</v>
      </c>
      <c r="G131" s="2" t="s">
        <v>171</v>
      </c>
      <c r="H131" s="2" t="s">
        <v>28</v>
      </c>
      <c r="I131" s="2" t="s">
        <v>29</v>
      </c>
      <c r="J131" s="2" t="s">
        <v>30</v>
      </c>
      <c r="K131" s="2" t="s">
        <v>172</v>
      </c>
      <c r="L131" s="2" t="s">
        <v>173</v>
      </c>
      <c r="M131" s="2" t="s">
        <v>33</v>
      </c>
      <c r="N131" s="3">
        <v>0</v>
      </c>
      <c r="O131" s="2" t="s">
        <v>34</v>
      </c>
      <c r="P131" s="2" t="s">
        <v>186</v>
      </c>
      <c r="Q131" s="4">
        <v>45194</v>
      </c>
      <c r="R131" s="4">
        <v>45254</v>
      </c>
      <c r="S131" s="3">
        <v>-847</v>
      </c>
      <c r="T131" s="5">
        <v>0</v>
      </c>
      <c r="U131" s="2" t="s">
        <v>20</v>
      </c>
      <c r="V131" s="5">
        <v>0</v>
      </c>
      <c r="W131" s="5">
        <v>0</v>
      </c>
      <c r="X131" s="5">
        <v>0</v>
      </c>
    </row>
    <row r="132" spans="1:24" outlineLevel="3">
      <c r="A132" s="2" t="s">
        <v>168</v>
      </c>
      <c r="B132" s="3">
        <v>444444528</v>
      </c>
      <c r="C132" s="3">
        <v>0</v>
      </c>
      <c r="D132" s="2" t="s">
        <v>169</v>
      </c>
      <c r="E132" s="2">
        <v>24367000</v>
      </c>
      <c r="F132" s="2" t="s">
        <v>170</v>
      </c>
      <c r="G132" s="2" t="s">
        <v>171</v>
      </c>
      <c r="H132" s="2" t="s">
        <v>28</v>
      </c>
      <c r="I132" s="2" t="s">
        <v>29</v>
      </c>
      <c r="J132" s="2" t="s">
        <v>30</v>
      </c>
      <c r="K132" s="2" t="s">
        <v>172</v>
      </c>
      <c r="L132" s="2" t="s">
        <v>173</v>
      </c>
      <c r="M132" s="2" t="s">
        <v>33</v>
      </c>
      <c r="N132" s="3">
        <v>0</v>
      </c>
      <c r="O132" s="2" t="s">
        <v>34</v>
      </c>
      <c r="P132" s="2" t="s">
        <v>187</v>
      </c>
      <c r="Q132" s="4">
        <v>45497</v>
      </c>
      <c r="R132" s="4">
        <v>45558</v>
      </c>
      <c r="S132" s="3">
        <v>-548</v>
      </c>
      <c r="T132" s="5">
        <v>0</v>
      </c>
      <c r="U132" s="2" t="s">
        <v>20</v>
      </c>
      <c r="V132" s="5">
        <v>0</v>
      </c>
      <c r="W132" s="5">
        <v>0</v>
      </c>
      <c r="X132" s="5">
        <v>0</v>
      </c>
    </row>
    <row r="133" spans="1:24" outlineLevel="3">
      <c r="A133" s="2" t="s">
        <v>168</v>
      </c>
      <c r="B133" s="3">
        <v>444444528</v>
      </c>
      <c r="C133" s="3">
        <v>0</v>
      </c>
      <c r="D133" s="2" t="s">
        <v>169</v>
      </c>
      <c r="E133" s="2">
        <v>24367000</v>
      </c>
      <c r="F133" s="2" t="s">
        <v>170</v>
      </c>
      <c r="G133" s="2" t="s">
        <v>171</v>
      </c>
      <c r="H133" s="2" t="s">
        <v>28</v>
      </c>
      <c r="I133" s="2" t="s">
        <v>29</v>
      </c>
      <c r="J133" s="2" t="s">
        <v>30</v>
      </c>
      <c r="K133" s="2" t="s">
        <v>172</v>
      </c>
      <c r="L133" s="2" t="s">
        <v>173</v>
      </c>
      <c r="M133" s="2" t="s">
        <v>33</v>
      </c>
      <c r="N133" s="3">
        <v>0</v>
      </c>
      <c r="O133" s="2" t="s">
        <v>34</v>
      </c>
      <c r="P133" s="2" t="s">
        <v>188</v>
      </c>
      <c r="Q133" s="4">
        <v>45698</v>
      </c>
      <c r="R133" s="4">
        <v>45756</v>
      </c>
      <c r="S133" s="3">
        <v>-352</v>
      </c>
      <c r="T133" s="5">
        <v>0</v>
      </c>
      <c r="U133" s="2" t="s">
        <v>20</v>
      </c>
      <c r="V133" s="5">
        <v>0</v>
      </c>
      <c r="W133" s="5">
        <v>0</v>
      </c>
      <c r="X133" s="5">
        <v>0</v>
      </c>
    </row>
    <row r="134" spans="1:24" outlineLevel="3">
      <c r="A134" s="2" t="s">
        <v>168</v>
      </c>
      <c r="B134" s="3">
        <v>444444528</v>
      </c>
      <c r="C134" s="3">
        <v>0</v>
      </c>
      <c r="D134" s="2" t="s">
        <v>169</v>
      </c>
      <c r="E134" s="2">
        <v>24367000</v>
      </c>
      <c r="F134" s="2" t="s">
        <v>170</v>
      </c>
      <c r="G134" s="2" t="s">
        <v>171</v>
      </c>
      <c r="H134" s="2" t="s">
        <v>28</v>
      </c>
      <c r="I134" s="2" t="s">
        <v>29</v>
      </c>
      <c r="J134" s="2" t="s">
        <v>30</v>
      </c>
      <c r="K134" s="2" t="s">
        <v>172</v>
      </c>
      <c r="L134" s="2" t="s">
        <v>173</v>
      </c>
      <c r="M134" s="2" t="s">
        <v>33</v>
      </c>
      <c r="N134" s="3">
        <v>0</v>
      </c>
      <c r="O134" s="2" t="s">
        <v>34</v>
      </c>
      <c r="P134" s="2" t="s">
        <v>189</v>
      </c>
      <c r="Q134" s="4">
        <v>45734</v>
      </c>
      <c r="R134" s="4">
        <v>45794</v>
      </c>
      <c r="S134" s="3">
        <v>-314</v>
      </c>
      <c r="T134" s="5">
        <v>0</v>
      </c>
      <c r="U134" s="2" t="s">
        <v>20</v>
      </c>
      <c r="V134" s="5">
        <v>0</v>
      </c>
      <c r="W134" s="5">
        <v>0</v>
      </c>
      <c r="X134" s="5">
        <v>0</v>
      </c>
    </row>
    <row r="135" spans="1:24" outlineLevel="3">
      <c r="A135" s="2" t="s">
        <v>168</v>
      </c>
      <c r="B135" s="3">
        <v>444444528</v>
      </c>
      <c r="C135" s="3">
        <v>0</v>
      </c>
      <c r="D135" s="2" t="s">
        <v>169</v>
      </c>
      <c r="E135" s="2">
        <v>24367000</v>
      </c>
      <c r="F135" s="2" t="s">
        <v>170</v>
      </c>
      <c r="G135" s="2" t="s">
        <v>171</v>
      </c>
      <c r="H135" s="2" t="s">
        <v>28</v>
      </c>
      <c r="I135" s="2" t="s">
        <v>29</v>
      </c>
      <c r="J135" s="2" t="s">
        <v>30</v>
      </c>
      <c r="K135" s="2" t="s">
        <v>172</v>
      </c>
      <c r="L135" s="2" t="s">
        <v>173</v>
      </c>
      <c r="M135" s="2" t="s">
        <v>33</v>
      </c>
      <c r="N135" s="3">
        <v>0</v>
      </c>
      <c r="O135" s="2" t="s">
        <v>34</v>
      </c>
      <c r="P135" s="2" t="s">
        <v>190</v>
      </c>
      <c r="Q135" s="4">
        <v>45924</v>
      </c>
      <c r="R135" s="4">
        <v>45984</v>
      </c>
      <c r="S135" s="3">
        <v>-128</v>
      </c>
      <c r="T135" s="5">
        <v>0</v>
      </c>
      <c r="U135" s="2" t="s">
        <v>20</v>
      </c>
      <c r="V135" s="5">
        <v>0</v>
      </c>
      <c r="W135" s="5">
        <v>0</v>
      </c>
      <c r="X135" s="5">
        <v>0</v>
      </c>
    </row>
    <row r="136" spans="1:24" outlineLevel="3">
      <c r="A136" s="2" t="s">
        <v>168</v>
      </c>
      <c r="B136" s="3">
        <v>444444528</v>
      </c>
      <c r="C136" s="3">
        <v>0</v>
      </c>
      <c r="D136" s="2" t="s">
        <v>169</v>
      </c>
      <c r="E136" s="2">
        <v>24367000</v>
      </c>
      <c r="F136" s="2" t="s">
        <v>170</v>
      </c>
      <c r="G136" s="2" t="s">
        <v>171</v>
      </c>
      <c r="H136" s="2" t="s">
        <v>28</v>
      </c>
      <c r="I136" s="2" t="s">
        <v>29</v>
      </c>
      <c r="J136" s="2" t="s">
        <v>49</v>
      </c>
      <c r="K136" s="2" t="s">
        <v>172</v>
      </c>
      <c r="L136" s="2" t="s">
        <v>173</v>
      </c>
      <c r="M136" s="2" t="s">
        <v>33</v>
      </c>
      <c r="N136" s="3">
        <v>0</v>
      </c>
      <c r="O136" s="2" t="s">
        <v>34</v>
      </c>
      <c r="P136" s="2" t="s">
        <v>191</v>
      </c>
      <c r="Q136" s="4">
        <v>46063</v>
      </c>
      <c r="R136" s="4">
        <v>46121</v>
      </c>
      <c r="S136" s="3">
        <v>8</v>
      </c>
      <c r="T136" s="5">
        <v>0</v>
      </c>
      <c r="U136" s="2" t="s">
        <v>126</v>
      </c>
      <c r="V136" s="5">
        <v>45926294.399999999</v>
      </c>
      <c r="W136" s="5">
        <v>0</v>
      </c>
      <c r="X136" s="5">
        <v>0</v>
      </c>
    </row>
    <row r="137" spans="1:24" outlineLevel="2">
      <c r="M137" s="14" t="s">
        <v>346</v>
      </c>
      <c r="T137" s="5">
        <f>SUBTOTAL(9,T119:T136)</f>
        <v>0</v>
      </c>
      <c r="V137" s="5">
        <f>SUBTOTAL(9,V119:V136)</f>
        <v>45926294.399999999</v>
      </c>
      <c r="W137" s="5">
        <f>SUBTOTAL(9,W119:W136)</f>
        <v>0</v>
      </c>
    </row>
    <row r="138" spans="1:24" outlineLevel="1">
      <c r="A138" s="14" t="s">
        <v>330</v>
      </c>
      <c r="T138" s="5">
        <f>SUBTOTAL(9,T119:T136)</f>
        <v>0</v>
      </c>
      <c r="V138" s="5">
        <f>SUBTOTAL(9,V119:V136)</f>
        <v>45926294.399999999</v>
      </c>
      <c r="W138" s="5">
        <f>SUBTOTAL(9,W119:W136)</f>
        <v>0</v>
      </c>
    </row>
    <row r="139" spans="1:24" outlineLevel="3">
      <c r="A139" s="2" t="s">
        <v>192</v>
      </c>
      <c r="B139" s="3">
        <v>444444530</v>
      </c>
      <c r="C139" s="3">
        <v>0</v>
      </c>
      <c r="D139" s="2" t="s">
        <v>193</v>
      </c>
      <c r="E139" s="2">
        <v>2127051</v>
      </c>
      <c r="F139" s="2" t="s">
        <v>194</v>
      </c>
      <c r="G139" s="2" t="s">
        <v>130</v>
      </c>
      <c r="H139" s="2" t="s">
        <v>28</v>
      </c>
      <c r="I139" s="2" t="s">
        <v>29</v>
      </c>
      <c r="J139" s="2" t="s">
        <v>49</v>
      </c>
      <c r="K139" s="2" t="s">
        <v>172</v>
      </c>
      <c r="L139" s="2" t="s">
        <v>173</v>
      </c>
      <c r="M139" s="2" t="s">
        <v>33</v>
      </c>
      <c r="N139" s="3">
        <v>0</v>
      </c>
      <c r="O139" s="2" t="s">
        <v>34</v>
      </c>
      <c r="P139" s="2" t="s">
        <v>195</v>
      </c>
      <c r="Q139" s="4">
        <v>43923</v>
      </c>
      <c r="R139" s="4">
        <v>43923</v>
      </c>
      <c r="S139" s="3">
        <v>-2159</v>
      </c>
      <c r="T139" s="5">
        <v>0</v>
      </c>
      <c r="U139" s="2" t="s">
        <v>20</v>
      </c>
      <c r="V139" s="5">
        <v>0</v>
      </c>
      <c r="W139" s="5">
        <v>0</v>
      </c>
      <c r="X139" s="5">
        <v>0</v>
      </c>
    </row>
    <row r="140" spans="1:24" outlineLevel="2">
      <c r="M140" s="14" t="s">
        <v>346</v>
      </c>
      <c r="T140" s="5">
        <f>SUBTOTAL(9,T139:T139)</f>
        <v>0</v>
      </c>
      <c r="V140" s="5">
        <f>SUBTOTAL(9,V139:V139)</f>
        <v>0</v>
      </c>
      <c r="W140" s="5">
        <f>SUBTOTAL(9,W139:W139)</f>
        <v>0</v>
      </c>
    </row>
    <row r="141" spans="1:24" outlineLevel="1">
      <c r="A141" s="14" t="s">
        <v>331</v>
      </c>
      <c r="T141" s="5">
        <f>SUBTOTAL(9,T139:T139)</f>
        <v>0</v>
      </c>
      <c r="V141" s="5">
        <f>SUBTOTAL(9,V139:V139)</f>
        <v>0</v>
      </c>
      <c r="W141" s="5">
        <f>SUBTOTAL(9,W139:W139)</f>
        <v>0</v>
      </c>
    </row>
    <row r="142" spans="1:24" outlineLevel="3">
      <c r="A142" s="2" t="s">
        <v>196</v>
      </c>
      <c r="B142" s="3">
        <v>444444534</v>
      </c>
      <c r="C142" s="3">
        <v>0</v>
      </c>
      <c r="D142" s="2" t="s">
        <v>197</v>
      </c>
      <c r="E142" s="2">
        <v>50379954623</v>
      </c>
      <c r="F142" s="2" t="s">
        <v>198</v>
      </c>
      <c r="G142" s="2" t="s">
        <v>130</v>
      </c>
      <c r="H142" s="2" t="s">
        <v>28</v>
      </c>
      <c r="I142" s="2" t="s">
        <v>29</v>
      </c>
      <c r="J142" s="2" t="s">
        <v>199</v>
      </c>
      <c r="K142" s="2" t="s">
        <v>172</v>
      </c>
      <c r="L142" s="2" t="s">
        <v>173</v>
      </c>
      <c r="M142" s="2" t="s">
        <v>33</v>
      </c>
      <c r="N142" s="3">
        <v>0</v>
      </c>
      <c r="O142" s="2" t="s">
        <v>34</v>
      </c>
      <c r="P142" s="2" t="s">
        <v>200</v>
      </c>
      <c r="Q142" s="4">
        <v>44419</v>
      </c>
      <c r="R142" s="4">
        <v>44419</v>
      </c>
      <c r="S142" s="3">
        <v>-1670</v>
      </c>
      <c r="T142" s="5">
        <v>0</v>
      </c>
      <c r="U142" s="2" t="s">
        <v>20</v>
      </c>
      <c r="V142" s="5">
        <v>0</v>
      </c>
      <c r="W142" s="5">
        <v>0</v>
      </c>
      <c r="X142" s="5">
        <v>0</v>
      </c>
    </row>
    <row r="143" spans="1:24" outlineLevel="2">
      <c r="M143" s="14" t="s">
        <v>346</v>
      </c>
      <c r="T143" s="5">
        <f>SUBTOTAL(9,T142:T142)</f>
        <v>0</v>
      </c>
      <c r="V143" s="5">
        <f>SUBTOTAL(9,V142:V142)</f>
        <v>0</v>
      </c>
      <c r="W143" s="5">
        <f>SUBTOTAL(9,W142:W142)</f>
        <v>0</v>
      </c>
    </row>
    <row r="144" spans="1:24" outlineLevel="1">
      <c r="A144" s="14" t="s">
        <v>332</v>
      </c>
      <c r="T144" s="5">
        <f>SUBTOTAL(9,T142:T142)</f>
        <v>0</v>
      </c>
      <c r="V144" s="5">
        <f>SUBTOTAL(9,V142:V142)</f>
        <v>0</v>
      </c>
      <c r="W144" s="5">
        <f>SUBTOTAL(9,W142:W142)</f>
        <v>0</v>
      </c>
    </row>
    <row r="145" spans="1:24" outlineLevel="3">
      <c r="A145" s="2" t="s">
        <v>201</v>
      </c>
      <c r="B145" s="3">
        <v>444444540</v>
      </c>
      <c r="C145" s="3">
        <v>0</v>
      </c>
      <c r="D145" s="2" t="s">
        <v>202</v>
      </c>
      <c r="E145" s="2">
        <v>23617675</v>
      </c>
      <c r="F145" s="2" t="s">
        <v>203</v>
      </c>
      <c r="G145" s="2" t="s">
        <v>204</v>
      </c>
      <c r="H145" s="2" t="s">
        <v>28</v>
      </c>
      <c r="I145" s="2" t="s">
        <v>29</v>
      </c>
      <c r="J145" s="2" t="s">
        <v>30</v>
      </c>
      <c r="K145" s="2" t="s">
        <v>172</v>
      </c>
      <c r="L145" s="2" t="s">
        <v>173</v>
      </c>
      <c r="M145" s="2" t="s">
        <v>33</v>
      </c>
      <c r="N145" s="3">
        <v>0</v>
      </c>
      <c r="O145" s="2" t="s">
        <v>34</v>
      </c>
      <c r="P145" s="2" t="s">
        <v>205</v>
      </c>
      <c r="Q145" s="4">
        <v>44551</v>
      </c>
      <c r="R145" s="4">
        <v>44551</v>
      </c>
      <c r="S145" s="3">
        <v>-1540</v>
      </c>
      <c r="T145" s="5">
        <v>0</v>
      </c>
      <c r="U145" s="2" t="s">
        <v>20</v>
      </c>
      <c r="V145" s="5">
        <v>0</v>
      </c>
      <c r="W145" s="5">
        <v>0</v>
      </c>
      <c r="X145" s="5">
        <v>0</v>
      </c>
    </row>
    <row r="146" spans="1:24" outlineLevel="3">
      <c r="A146" s="2" t="s">
        <v>201</v>
      </c>
      <c r="B146" s="3">
        <v>444444540</v>
      </c>
      <c r="C146" s="3">
        <v>0</v>
      </c>
      <c r="D146" s="2" t="s">
        <v>202</v>
      </c>
      <c r="E146" s="2">
        <v>23617675</v>
      </c>
      <c r="F146" s="2" t="s">
        <v>203</v>
      </c>
      <c r="G146" s="2" t="s">
        <v>204</v>
      </c>
      <c r="H146" s="2" t="s">
        <v>28</v>
      </c>
      <c r="I146" s="2" t="s">
        <v>29</v>
      </c>
      <c r="J146" s="2" t="s">
        <v>30</v>
      </c>
      <c r="K146" s="2" t="s">
        <v>172</v>
      </c>
      <c r="L146" s="2" t="s">
        <v>173</v>
      </c>
      <c r="M146" s="2" t="s">
        <v>33</v>
      </c>
      <c r="N146" s="3">
        <v>0</v>
      </c>
      <c r="O146" s="2" t="s">
        <v>34</v>
      </c>
      <c r="P146" s="2" t="s">
        <v>206</v>
      </c>
      <c r="Q146" s="4">
        <v>44553</v>
      </c>
      <c r="R146" s="4">
        <v>44614</v>
      </c>
      <c r="S146" s="3">
        <v>-1479</v>
      </c>
      <c r="T146" s="5">
        <v>0</v>
      </c>
      <c r="U146" s="2" t="s">
        <v>20</v>
      </c>
      <c r="V146" s="5">
        <v>0</v>
      </c>
      <c r="W146" s="5">
        <v>0</v>
      </c>
      <c r="X146" s="5">
        <v>0</v>
      </c>
    </row>
    <row r="147" spans="1:24" outlineLevel="3">
      <c r="A147" s="2" t="s">
        <v>201</v>
      </c>
      <c r="B147" s="3">
        <v>444444540</v>
      </c>
      <c r="C147" s="3">
        <v>0</v>
      </c>
      <c r="D147" s="2" t="s">
        <v>202</v>
      </c>
      <c r="E147" s="2">
        <v>23617675</v>
      </c>
      <c r="F147" s="2" t="s">
        <v>203</v>
      </c>
      <c r="G147" s="2" t="s">
        <v>204</v>
      </c>
      <c r="H147" s="2" t="s">
        <v>28</v>
      </c>
      <c r="I147" s="2" t="s">
        <v>29</v>
      </c>
      <c r="J147" s="2" t="s">
        <v>30</v>
      </c>
      <c r="K147" s="2" t="s">
        <v>172</v>
      </c>
      <c r="L147" s="2" t="s">
        <v>173</v>
      </c>
      <c r="M147" s="2" t="s">
        <v>33</v>
      </c>
      <c r="N147" s="3">
        <v>0</v>
      </c>
      <c r="O147" s="2" t="s">
        <v>34</v>
      </c>
      <c r="P147" s="2" t="s">
        <v>207</v>
      </c>
      <c r="Q147" s="4">
        <v>44712</v>
      </c>
      <c r="R147" s="4">
        <v>44771</v>
      </c>
      <c r="S147" s="3">
        <v>-1322</v>
      </c>
      <c r="T147" s="5">
        <v>0</v>
      </c>
      <c r="U147" s="2" t="s">
        <v>20</v>
      </c>
      <c r="V147" s="5">
        <v>0</v>
      </c>
      <c r="W147" s="5">
        <v>0</v>
      </c>
      <c r="X147" s="5">
        <v>0</v>
      </c>
    </row>
    <row r="148" spans="1:24" outlineLevel="3">
      <c r="A148" s="2" t="s">
        <v>201</v>
      </c>
      <c r="B148" s="3">
        <v>444444540</v>
      </c>
      <c r="C148" s="3">
        <v>0</v>
      </c>
      <c r="D148" s="2" t="s">
        <v>202</v>
      </c>
      <c r="E148" s="2">
        <v>23617675</v>
      </c>
      <c r="F148" s="2" t="s">
        <v>203</v>
      </c>
      <c r="G148" s="2" t="s">
        <v>204</v>
      </c>
      <c r="H148" s="2" t="s">
        <v>28</v>
      </c>
      <c r="I148" s="2" t="s">
        <v>29</v>
      </c>
      <c r="J148" s="2" t="s">
        <v>30</v>
      </c>
      <c r="K148" s="2" t="s">
        <v>172</v>
      </c>
      <c r="L148" s="2" t="s">
        <v>173</v>
      </c>
      <c r="M148" s="2" t="s">
        <v>33</v>
      </c>
      <c r="N148" s="3">
        <v>0</v>
      </c>
      <c r="O148" s="2" t="s">
        <v>34</v>
      </c>
      <c r="P148" s="2" t="s">
        <v>208</v>
      </c>
      <c r="Q148" s="4">
        <v>44893</v>
      </c>
      <c r="R148" s="4">
        <v>44953</v>
      </c>
      <c r="S148" s="3">
        <v>-1144</v>
      </c>
      <c r="T148" s="5">
        <v>0</v>
      </c>
      <c r="U148" s="2" t="s">
        <v>20</v>
      </c>
      <c r="V148" s="5">
        <v>0</v>
      </c>
      <c r="W148" s="5">
        <v>0</v>
      </c>
      <c r="X148" s="5">
        <v>0</v>
      </c>
    </row>
    <row r="149" spans="1:24" outlineLevel="3">
      <c r="A149" s="2" t="s">
        <v>201</v>
      </c>
      <c r="B149" s="3">
        <v>444444540</v>
      </c>
      <c r="C149" s="3">
        <v>0</v>
      </c>
      <c r="D149" s="2" t="s">
        <v>202</v>
      </c>
      <c r="E149" s="2">
        <v>23617675</v>
      </c>
      <c r="F149" s="2" t="s">
        <v>203</v>
      </c>
      <c r="G149" s="2" t="s">
        <v>204</v>
      </c>
      <c r="H149" s="2" t="s">
        <v>28</v>
      </c>
      <c r="I149" s="2" t="s">
        <v>29</v>
      </c>
      <c r="J149" s="2" t="s">
        <v>30</v>
      </c>
      <c r="K149" s="2" t="s">
        <v>172</v>
      </c>
      <c r="L149" s="2" t="s">
        <v>173</v>
      </c>
      <c r="M149" s="2" t="s">
        <v>33</v>
      </c>
      <c r="N149" s="3">
        <v>0</v>
      </c>
      <c r="O149" s="2" t="s">
        <v>34</v>
      </c>
      <c r="P149" s="2" t="s">
        <v>209</v>
      </c>
      <c r="Q149" s="4">
        <v>45211</v>
      </c>
      <c r="R149" s="4">
        <v>45271</v>
      </c>
      <c r="S149" s="3">
        <v>-830</v>
      </c>
      <c r="T149" s="5">
        <v>0</v>
      </c>
      <c r="U149" s="2" t="s">
        <v>20</v>
      </c>
      <c r="V149" s="5">
        <v>0</v>
      </c>
      <c r="W149" s="5">
        <v>0</v>
      </c>
      <c r="X149" s="5">
        <v>0</v>
      </c>
    </row>
    <row r="150" spans="1:24" outlineLevel="3">
      <c r="A150" s="2" t="s">
        <v>201</v>
      </c>
      <c r="B150" s="3">
        <v>444444540</v>
      </c>
      <c r="C150" s="3">
        <v>0</v>
      </c>
      <c r="D150" s="2" t="s">
        <v>202</v>
      </c>
      <c r="E150" s="2">
        <v>23617675</v>
      </c>
      <c r="F150" s="2" t="s">
        <v>203</v>
      </c>
      <c r="G150" s="2" t="s">
        <v>204</v>
      </c>
      <c r="H150" s="2" t="s">
        <v>28</v>
      </c>
      <c r="I150" s="2" t="s">
        <v>29</v>
      </c>
      <c r="J150" s="2" t="s">
        <v>30</v>
      </c>
      <c r="K150" s="2" t="s">
        <v>172</v>
      </c>
      <c r="L150" s="2" t="s">
        <v>173</v>
      </c>
      <c r="M150" s="2" t="s">
        <v>33</v>
      </c>
      <c r="N150" s="3">
        <v>0</v>
      </c>
      <c r="O150" s="2" t="s">
        <v>34</v>
      </c>
      <c r="P150" s="2" t="s">
        <v>210</v>
      </c>
      <c r="Q150" s="4">
        <v>45639</v>
      </c>
      <c r="R150" s="4">
        <v>45700</v>
      </c>
      <c r="S150" s="3">
        <v>-409</v>
      </c>
      <c r="T150" s="5">
        <v>0</v>
      </c>
      <c r="U150" s="2" t="s">
        <v>20</v>
      </c>
      <c r="V150" s="5">
        <v>0</v>
      </c>
      <c r="W150" s="5">
        <v>0</v>
      </c>
      <c r="X150" s="5">
        <v>0</v>
      </c>
    </row>
    <row r="151" spans="1:24" outlineLevel="2">
      <c r="M151" s="14" t="s">
        <v>346</v>
      </c>
      <c r="T151" s="5">
        <f>SUBTOTAL(9,T145:T150)</f>
        <v>0</v>
      </c>
      <c r="V151" s="5">
        <f>SUBTOTAL(9,V145:V150)</f>
        <v>0</v>
      </c>
      <c r="W151" s="5">
        <f>SUBTOTAL(9,W145:W150)</f>
        <v>0</v>
      </c>
    </row>
    <row r="152" spans="1:24" outlineLevel="1">
      <c r="A152" s="14" t="s">
        <v>333</v>
      </c>
      <c r="T152" s="5">
        <f>SUBTOTAL(9,T145:T150)</f>
        <v>0</v>
      </c>
      <c r="V152" s="5">
        <f>SUBTOTAL(9,V145:V150)</f>
        <v>0</v>
      </c>
      <c r="W152" s="5">
        <f>SUBTOTAL(9,W145:W150)</f>
        <v>0</v>
      </c>
    </row>
    <row r="153" spans="1:24" outlineLevel="3">
      <c r="A153" s="2" t="s">
        <v>211</v>
      </c>
      <c r="B153" s="3">
        <v>444444541</v>
      </c>
      <c r="C153" s="3">
        <v>0</v>
      </c>
      <c r="D153" s="2" t="s">
        <v>212</v>
      </c>
      <c r="E153" s="2">
        <v>65612727</v>
      </c>
      <c r="F153" s="2" t="s">
        <v>213</v>
      </c>
      <c r="G153" s="2" t="s">
        <v>48</v>
      </c>
      <c r="H153" s="2" t="s">
        <v>28</v>
      </c>
      <c r="I153" s="2" t="s">
        <v>29</v>
      </c>
      <c r="J153" s="2" t="s">
        <v>30</v>
      </c>
      <c r="K153" s="2" t="s">
        <v>172</v>
      </c>
      <c r="L153" s="2" t="s">
        <v>173</v>
      </c>
      <c r="M153" s="2" t="s">
        <v>33</v>
      </c>
      <c r="N153" s="3">
        <v>0</v>
      </c>
      <c r="O153" s="2" t="s">
        <v>34</v>
      </c>
      <c r="P153" s="2" t="s">
        <v>214</v>
      </c>
      <c r="Q153" s="4">
        <v>44704</v>
      </c>
      <c r="R153" s="4">
        <v>44704</v>
      </c>
      <c r="S153" s="3">
        <v>-1388</v>
      </c>
      <c r="T153" s="5">
        <v>0</v>
      </c>
      <c r="U153" s="2" t="s">
        <v>20</v>
      </c>
      <c r="V153" s="5">
        <v>0</v>
      </c>
      <c r="W153" s="5">
        <v>0</v>
      </c>
      <c r="X153" s="5">
        <v>0</v>
      </c>
    </row>
    <row r="154" spans="1:24" outlineLevel="3">
      <c r="A154" s="2" t="s">
        <v>211</v>
      </c>
      <c r="B154" s="3">
        <v>444444541</v>
      </c>
      <c r="C154" s="3">
        <v>0</v>
      </c>
      <c r="D154" s="2" t="s">
        <v>212</v>
      </c>
      <c r="E154" s="2">
        <v>65612727</v>
      </c>
      <c r="F154" s="2" t="s">
        <v>213</v>
      </c>
      <c r="G154" s="2" t="s">
        <v>48</v>
      </c>
      <c r="H154" s="2" t="s">
        <v>28</v>
      </c>
      <c r="I154" s="2" t="s">
        <v>29</v>
      </c>
      <c r="J154" s="2" t="s">
        <v>30</v>
      </c>
      <c r="K154" s="2" t="s">
        <v>172</v>
      </c>
      <c r="L154" s="2" t="s">
        <v>173</v>
      </c>
      <c r="M154" s="2" t="s">
        <v>33</v>
      </c>
      <c r="N154" s="3">
        <v>0</v>
      </c>
      <c r="O154" s="2" t="s">
        <v>34</v>
      </c>
      <c r="P154" s="2" t="s">
        <v>215</v>
      </c>
      <c r="Q154" s="4">
        <v>44704</v>
      </c>
      <c r="R154" s="4">
        <v>44704</v>
      </c>
      <c r="S154" s="3">
        <v>-1388</v>
      </c>
      <c r="T154" s="5">
        <v>0</v>
      </c>
      <c r="U154" s="2" t="s">
        <v>20</v>
      </c>
      <c r="V154" s="5">
        <v>0</v>
      </c>
      <c r="W154" s="5">
        <v>0</v>
      </c>
      <c r="X154" s="5">
        <v>0</v>
      </c>
    </row>
    <row r="155" spans="1:24" outlineLevel="2">
      <c r="M155" s="14" t="s">
        <v>346</v>
      </c>
      <c r="T155" s="5">
        <f>SUBTOTAL(9,T153:T154)</f>
        <v>0</v>
      </c>
      <c r="V155" s="5">
        <f>SUBTOTAL(9,V153:V154)</f>
        <v>0</v>
      </c>
      <c r="W155" s="5">
        <f>SUBTOTAL(9,W153:W154)</f>
        <v>0</v>
      </c>
    </row>
    <row r="156" spans="1:24" outlineLevel="1">
      <c r="A156" s="14" t="s">
        <v>334</v>
      </c>
      <c r="T156" s="5">
        <f>SUBTOTAL(9,T153:T154)</f>
        <v>0</v>
      </c>
      <c r="V156" s="5">
        <f>SUBTOTAL(9,V153:V154)</f>
        <v>0</v>
      </c>
      <c r="W156" s="5">
        <f>SUBTOTAL(9,W153:W154)</f>
        <v>0</v>
      </c>
    </row>
    <row r="157" spans="1:24" outlineLevel="3">
      <c r="A157" s="2" t="s">
        <v>216</v>
      </c>
      <c r="B157" s="3">
        <v>444444554</v>
      </c>
      <c r="C157" s="3">
        <v>0</v>
      </c>
      <c r="D157" s="2" t="s">
        <v>217</v>
      </c>
      <c r="E157" s="2">
        <v>7971615</v>
      </c>
      <c r="F157" s="2" t="s">
        <v>218</v>
      </c>
      <c r="G157" s="2" t="s">
        <v>219</v>
      </c>
      <c r="H157" s="2" t="s">
        <v>28</v>
      </c>
      <c r="I157" s="2" t="s">
        <v>29</v>
      </c>
      <c r="J157" s="2" t="s">
        <v>220</v>
      </c>
      <c r="K157" s="2" t="s">
        <v>221</v>
      </c>
      <c r="L157" s="2" t="s">
        <v>222</v>
      </c>
      <c r="M157" s="2" t="s">
        <v>33</v>
      </c>
      <c r="N157" s="3">
        <v>0</v>
      </c>
      <c r="O157" s="2" t="s">
        <v>34</v>
      </c>
      <c r="P157" s="2" t="s">
        <v>223</v>
      </c>
      <c r="Q157" s="4">
        <v>44812</v>
      </c>
      <c r="R157" s="4">
        <v>44812</v>
      </c>
      <c r="S157" s="3">
        <v>-1283</v>
      </c>
      <c r="T157" s="5">
        <v>0</v>
      </c>
      <c r="U157" s="2" t="s">
        <v>20</v>
      </c>
      <c r="V157" s="5">
        <v>0</v>
      </c>
      <c r="W157" s="5">
        <v>0</v>
      </c>
      <c r="X157" s="5">
        <v>0</v>
      </c>
    </row>
    <row r="158" spans="1:24" outlineLevel="2">
      <c r="M158" s="14" t="s">
        <v>346</v>
      </c>
      <c r="T158" s="5">
        <f>SUBTOTAL(9,T157:T157)</f>
        <v>0</v>
      </c>
      <c r="V158" s="5">
        <f>SUBTOTAL(9,V157:V157)</f>
        <v>0</v>
      </c>
      <c r="W158" s="5">
        <f>SUBTOTAL(9,W157:W157)</f>
        <v>0</v>
      </c>
    </row>
    <row r="159" spans="1:24" outlineLevel="1">
      <c r="A159" s="14" t="s">
        <v>335</v>
      </c>
      <c r="T159" s="5">
        <f>SUBTOTAL(9,T157:T157)</f>
        <v>0</v>
      </c>
      <c r="V159" s="5">
        <f>SUBTOTAL(9,V157:V157)</f>
        <v>0</v>
      </c>
      <c r="W159" s="5">
        <f>SUBTOTAL(9,W157:W157)</f>
        <v>0</v>
      </c>
    </row>
    <row r="160" spans="1:24" outlineLevel="3">
      <c r="A160" s="2" t="s">
        <v>224</v>
      </c>
      <c r="B160" s="3">
        <v>444444557</v>
      </c>
      <c r="C160" s="3">
        <v>0</v>
      </c>
      <c r="D160" s="2" t="s">
        <v>225</v>
      </c>
      <c r="E160" s="2">
        <v>22486520</v>
      </c>
      <c r="F160" s="2" t="s">
        <v>226</v>
      </c>
      <c r="G160" s="2" t="s">
        <v>63</v>
      </c>
      <c r="H160" s="2" t="s">
        <v>28</v>
      </c>
      <c r="I160" s="2" t="s">
        <v>29</v>
      </c>
      <c r="J160" s="2" t="s">
        <v>30</v>
      </c>
      <c r="K160" s="2" t="s">
        <v>50</v>
      </c>
      <c r="L160" s="2" t="s">
        <v>51</v>
      </c>
      <c r="M160" s="2" t="s">
        <v>33</v>
      </c>
      <c r="N160" s="3">
        <v>0</v>
      </c>
      <c r="O160" s="2" t="s">
        <v>34</v>
      </c>
      <c r="P160" s="2" t="s">
        <v>227</v>
      </c>
      <c r="Q160" s="4">
        <v>44823</v>
      </c>
      <c r="R160" s="4">
        <v>44823</v>
      </c>
      <c r="S160" s="3">
        <v>-1272</v>
      </c>
      <c r="T160" s="5">
        <v>0</v>
      </c>
      <c r="U160" s="2" t="s">
        <v>20</v>
      </c>
      <c r="V160" s="5">
        <v>0</v>
      </c>
      <c r="W160" s="5">
        <v>0</v>
      </c>
      <c r="X160" s="5">
        <v>0</v>
      </c>
    </row>
    <row r="161" spans="1:24" outlineLevel="3">
      <c r="A161" s="2" t="s">
        <v>224</v>
      </c>
      <c r="B161" s="3">
        <v>444444557</v>
      </c>
      <c r="C161" s="3">
        <v>0</v>
      </c>
      <c r="D161" s="2" t="s">
        <v>225</v>
      </c>
      <c r="E161" s="2">
        <v>22486520</v>
      </c>
      <c r="F161" s="2" t="s">
        <v>226</v>
      </c>
      <c r="G161" s="2" t="s">
        <v>63</v>
      </c>
      <c r="H161" s="2" t="s">
        <v>28</v>
      </c>
      <c r="I161" s="2" t="s">
        <v>29</v>
      </c>
      <c r="J161" s="2" t="s">
        <v>30</v>
      </c>
      <c r="K161" s="2" t="s">
        <v>50</v>
      </c>
      <c r="L161" s="2" t="s">
        <v>51</v>
      </c>
      <c r="M161" s="2" t="s">
        <v>33</v>
      </c>
      <c r="N161" s="3">
        <v>0</v>
      </c>
      <c r="O161" s="2" t="s">
        <v>34</v>
      </c>
      <c r="P161" s="2" t="s">
        <v>228</v>
      </c>
      <c r="Q161" s="4">
        <v>44895</v>
      </c>
      <c r="R161" s="4">
        <v>44895</v>
      </c>
      <c r="S161" s="3">
        <v>-1201</v>
      </c>
      <c r="T161" s="5">
        <v>0</v>
      </c>
      <c r="U161" s="2" t="s">
        <v>20</v>
      </c>
      <c r="V161" s="5">
        <v>0</v>
      </c>
      <c r="W161" s="5">
        <v>0</v>
      </c>
      <c r="X161" s="5">
        <v>0</v>
      </c>
    </row>
    <row r="162" spans="1:24" outlineLevel="3">
      <c r="A162" s="2" t="s">
        <v>224</v>
      </c>
      <c r="B162" s="3">
        <v>444444557</v>
      </c>
      <c r="C162" s="3">
        <v>0</v>
      </c>
      <c r="D162" s="2" t="s">
        <v>225</v>
      </c>
      <c r="E162" s="2">
        <v>22486520</v>
      </c>
      <c r="F162" s="2" t="s">
        <v>226</v>
      </c>
      <c r="G162" s="2" t="s">
        <v>63</v>
      </c>
      <c r="H162" s="2" t="s">
        <v>28</v>
      </c>
      <c r="I162" s="2" t="s">
        <v>29</v>
      </c>
      <c r="J162" s="2" t="s">
        <v>30</v>
      </c>
      <c r="K162" s="2" t="s">
        <v>50</v>
      </c>
      <c r="L162" s="2" t="s">
        <v>51</v>
      </c>
      <c r="M162" s="2" t="s">
        <v>33</v>
      </c>
      <c r="N162" s="3">
        <v>0</v>
      </c>
      <c r="O162" s="2" t="s">
        <v>34</v>
      </c>
      <c r="P162" s="2" t="s">
        <v>229</v>
      </c>
      <c r="Q162" s="4">
        <v>44977</v>
      </c>
      <c r="R162" s="4">
        <v>44977</v>
      </c>
      <c r="S162" s="3">
        <v>-1121</v>
      </c>
      <c r="T162" s="5">
        <v>0</v>
      </c>
      <c r="U162" s="2" t="s">
        <v>20</v>
      </c>
      <c r="V162" s="5">
        <v>0</v>
      </c>
      <c r="W162" s="5">
        <v>0</v>
      </c>
      <c r="X162" s="5">
        <v>0</v>
      </c>
    </row>
    <row r="163" spans="1:24" outlineLevel="3">
      <c r="A163" s="2" t="s">
        <v>224</v>
      </c>
      <c r="B163" s="3">
        <v>444444557</v>
      </c>
      <c r="C163" s="3">
        <v>0</v>
      </c>
      <c r="D163" s="2" t="s">
        <v>225</v>
      </c>
      <c r="E163" s="2">
        <v>22486520</v>
      </c>
      <c r="F163" s="2" t="s">
        <v>226</v>
      </c>
      <c r="G163" s="2" t="s">
        <v>63</v>
      </c>
      <c r="H163" s="2" t="s">
        <v>28</v>
      </c>
      <c r="I163" s="2" t="s">
        <v>29</v>
      </c>
      <c r="J163" s="2" t="s">
        <v>30</v>
      </c>
      <c r="K163" s="2" t="s">
        <v>50</v>
      </c>
      <c r="L163" s="2" t="s">
        <v>51</v>
      </c>
      <c r="M163" s="2" t="s">
        <v>33</v>
      </c>
      <c r="N163" s="3">
        <v>0</v>
      </c>
      <c r="O163" s="2" t="s">
        <v>34</v>
      </c>
      <c r="P163" s="2" t="s">
        <v>230</v>
      </c>
      <c r="Q163" s="4">
        <v>45009</v>
      </c>
      <c r="R163" s="4">
        <v>45009</v>
      </c>
      <c r="S163" s="3">
        <v>-1087</v>
      </c>
      <c r="T163" s="5">
        <v>0</v>
      </c>
      <c r="U163" s="2" t="s">
        <v>20</v>
      </c>
      <c r="V163" s="5">
        <v>0</v>
      </c>
      <c r="W163" s="5">
        <v>0</v>
      </c>
      <c r="X163" s="5">
        <v>0</v>
      </c>
    </row>
    <row r="164" spans="1:24" outlineLevel="3">
      <c r="A164" s="2" t="s">
        <v>224</v>
      </c>
      <c r="B164" s="3">
        <v>444444557</v>
      </c>
      <c r="C164" s="3">
        <v>0</v>
      </c>
      <c r="D164" s="2" t="s">
        <v>225</v>
      </c>
      <c r="E164" s="2">
        <v>22486520</v>
      </c>
      <c r="F164" s="2" t="s">
        <v>226</v>
      </c>
      <c r="G164" s="2" t="s">
        <v>63</v>
      </c>
      <c r="H164" s="2" t="s">
        <v>28</v>
      </c>
      <c r="I164" s="2" t="s">
        <v>29</v>
      </c>
      <c r="J164" s="2" t="s">
        <v>30</v>
      </c>
      <c r="K164" s="2" t="s">
        <v>50</v>
      </c>
      <c r="L164" s="2" t="s">
        <v>51</v>
      </c>
      <c r="M164" s="2" t="s">
        <v>33</v>
      </c>
      <c r="N164" s="3">
        <v>0</v>
      </c>
      <c r="O164" s="2" t="s">
        <v>34</v>
      </c>
      <c r="P164" s="2" t="s">
        <v>231</v>
      </c>
      <c r="Q164" s="4">
        <v>45075</v>
      </c>
      <c r="R164" s="4">
        <v>45075</v>
      </c>
      <c r="S164" s="3">
        <v>-1022</v>
      </c>
      <c r="T164" s="5">
        <v>0</v>
      </c>
      <c r="U164" s="2" t="s">
        <v>20</v>
      </c>
      <c r="V164" s="5">
        <v>0</v>
      </c>
      <c r="W164" s="5">
        <v>0</v>
      </c>
      <c r="X164" s="5">
        <v>0</v>
      </c>
    </row>
    <row r="165" spans="1:24" outlineLevel="3">
      <c r="A165" s="2" t="s">
        <v>224</v>
      </c>
      <c r="B165" s="3">
        <v>444444557</v>
      </c>
      <c r="C165" s="3">
        <v>0</v>
      </c>
      <c r="D165" s="2" t="s">
        <v>225</v>
      </c>
      <c r="E165" s="2">
        <v>22486520</v>
      </c>
      <c r="F165" s="2" t="s">
        <v>226</v>
      </c>
      <c r="G165" s="2" t="s">
        <v>63</v>
      </c>
      <c r="H165" s="2" t="s">
        <v>28</v>
      </c>
      <c r="I165" s="2" t="s">
        <v>29</v>
      </c>
      <c r="J165" s="2" t="s">
        <v>30</v>
      </c>
      <c r="K165" s="2" t="s">
        <v>50</v>
      </c>
      <c r="L165" s="2" t="s">
        <v>51</v>
      </c>
      <c r="M165" s="2" t="s">
        <v>33</v>
      </c>
      <c r="N165" s="3">
        <v>0</v>
      </c>
      <c r="O165" s="2" t="s">
        <v>34</v>
      </c>
      <c r="P165" s="2" t="s">
        <v>232</v>
      </c>
      <c r="Q165" s="4">
        <v>45181</v>
      </c>
      <c r="R165" s="4">
        <v>45181</v>
      </c>
      <c r="S165" s="3">
        <v>-919</v>
      </c>
      <c r="T165" s="5">
        <v>0</v>
      </c>
      <c r="U165" s="2" t="s">
        <v>20</v>
      </c>
      <c r="V165" s="5">
        <v>0</v>
      </c>
      <c r="W165" s="5">
        <v>0</v>
      </c>
      <c r="X165" s="5">
        <v>0</v>
      </c>
    </row>
    <row r="166" spans="1:24" outlineLevel="3">
      <c r="A166" s="2" t="s">
        <v>224</v>
      </c>
      <c r="B166" s="3">
        <v>444444557</v>
      </c>
      <c r="C166" s="3">
        <v>0</v>
      </c>
      <c r="D166" s="2" t="s">
        <v>225</v>
      </c>
      <c r="E166" s="2">
        <v>22486520</v>
      </c>
      <c r="F166" s="2" t="s">
        <v>226</v>
      </c>
      <c r="G166" s="2" t="s">
        <v>63</v>
      </c>
      <c r="H166" s="2" t="s">
        <v>28</v>
      </c>
      <c r="I166" s="2" t="s">
        <v>29</v>
      </c>
      <c r="J166" s="2" t="s">
        <v>30</v>
      </c>
      <c r="K166" s="2" t="s">
        <v>50</v>
      </c>
      <c r="L166" s="2" t="s">
        <v>51</v>
      </c>
      <c r="M166" s="2" t="s">
        <v>33</v>
      </c>
      <c r="N166" s="3">
        <v>0</v>
      </c>
      <c r="O166" s="2" t="s">
        <v>34</v>
      </c>
      <c r="P166" s="2" t="s">
        <v>233</v>
      </c>
      <c r="Q166" s="4">
        <v>45254</v>
      </c>
      <c r="R166" s="4">
        <v>45254</v>
      </c>
      <c r="S166" s="3">
        <v>-847</v>
      </c>
      <c r="T166" s="5">
        <v>0</v>
      </c>
      <c r="U166" s="2" t="s">
        <v>20</v>
      </c>
      <c r="V166" s="5">
        <v>0</v>
      </c>
      <c r="W166" s="5">
        <v>0</v>
      </c>
      <c r="X166" s="5">
        <v>0</v>
      </c>
    </row>
    <row r="167" spans="1:24" outlineLevel="3">
      <c r="A167" s="2" t="s">
        <v>224</v>
      </c>
      <c r="B167" s="3">
        <v>444444557</v>
      </c>
      <c r="C167" s="3">
        <v>0</v>
      </c>
      <c r="D167" s="2" t="s">
        <v>225</v>
      </c>
      <c r="E167" s="2">
        <v>22486520</v>
      </c>
      <c r="F167" s="2" t="s">
        <v>226</v>
      </c>
      <c r="G167" s="2" t="s">
        <v>63</v>
      </c>
      <c r="H167" s="2" t="s">
        <v>28</v>
      </c>
      <c r="I167" s="2" t="s">
        <v>29</v>
      </c>
      <c r="J167" s="2" t="s">
        <v>30</v>
      </c>
      <c r="K167" s="2" t="s">
        <v>50</v>
      </c>
      <c r="L167" s="2" t="s">
        <v>51</v>
      </c>
      <c r="M167" s="2" t="s">
        <v>33</v>
      </c>
      <c r="N167" s="3">
        <v>0</v>
      </c>
      <c r="O167" s="2" t="s">
        <v>34</v>
      </c>
      <c r="P167" s="2" t="s">
        <v>234</v>
      </c>
      <c r="Q167" s="4">
        <v>45372</v>
      </c>
      <c r="R167" s="4">
        <v>45372</v>
      </c>
      <c r="S167" s="3">
        <v>-730</v>
      </c>
      <c r="T167" s="5">
        <v>0</v>
      </c>
      <c r="U167" s="2" t="s">
        <v>20</v>
      </c>
      <c r="V167" s="5">
        <v>0</v>
      </c>
      <c r="W167" s="5">
        <v>0</v>
      </c>
      <c r="X167" s="5">
        <v>0</v>
      </c>
    </row>
    <row r="168" spans="1:24" outlineLevel="3">
      <c r="A168" s="2" t="s">
        <v>224</v>
      </c>
      <c r="B168" s="3">
        <v>444444557</v>
      </c>
      <c r="C168" s="3">
        <v>0</v>
      </c>
      <c r="D168" s="2" t="s">
        <v>225</v>
      </c>
      <c r="E168" s="2">
        <v>22486520</v>
      </c>
      <c r="F168" s="2" t="s">
        <v>226</v>
      </c>
      <c r="G168" s="2" t="s">
        <v>63</v>
      </c>
      <c r="H168" s="2" t="s">
        <v>28</v>
      </c>
      <c r="I168" s="2" t="s">
        <v>29</v>
      </c>
      <c r="J168" s="2" t="s">
        <v>30</v>
      </c>
      <c r="K168" s="2" t="s">
        <v>50</v>
      </c>
      <c r="L168" s="2" t="s">
        <v>51</v>
      </c>
      <c r="M168" s="2" t="s">
        <v>33</v>
      </c>
      <c r="N168" s="3">
        <v>0</v>
      </c>
      <c r="O168" s="2" t="s">
        <v>34</v>
      </c>
      <c r="P168" s="2" t="s">
        <v>235</v>
      </c>
      <c r="Q168" s="4">
        <v>45565</v>
      </c>
      <c r="R168" s="4">
        <v>45565</v>
      </c>
      <c r="S168" s="3">
        <v>-541</v>
      </c>
      <c r="T168" s="5">
        <v>0</v>
      </c>
      <c r="U168" s="2" t="s">
        <v>20</v>
      </c>
      <c r="V168" s="5">
        <v>0</v>
      </c>
      <c r="W168" s="5">
        <v>0</v>
      </c>
      <c r="X168" s="5">
        <v>0</v>
      </c>
    </row>
    <row r="169" spans="1:24" outlineLevel="3">
      <c r="A169" s="2" t="s">
        <v>224</v>
      </c>
      <c r="B169" s="3">
        <v>444444557</v>
      </c>
      <c r="C169" s="3">
        <v>0</v>
      </c>
      <c r="D169" s="2" t="s">
        <v>225</v>
      </c>
      <c r="E169" s="2">
        <v>22486520</v>
      </c>
      <c r="F169" s="2" t="s">
        <v>226</v>
      </c>
      <c r="G169" s="2" t="s">
        <v>63</v>
      </c>
      <c r="H169" s="2" t="s">
        <v>28</v>
      </c>
      <c r="I169" s="2" t="s">
        <v>29</v>
      </c>
      <c r="J169" s="2" t="s">
        <v>30</v>
      </c>
      <c r="K169" s="2" t="s">
        <v>50</v>
      </c>
      <c r="L169" s="2" t="s">
        <v>51</v>
      </c>
      <c r="M169" s="2" t="s">
        <v>33</v>
      </c>
      <c r="N169" s="3">
        <v>0</v>
      </c>
      <c r="O169" s="2" t="s">
        <v>34</v>
      </c>
      <c r="P169" s="2" t="s">
        <v>236</v>
      </c>
      <c r="Q169" s="4">
        <v>45587</v>
      </c>
      <c r="R169" s="4">
        <v>45587</v>
      </c>
      <c r="S169" s="3">
        <v>-519</v>
      </c>
      <c r="T169" s="5">
        <v>0</v>
      </c>
      <c r="U169" s="2" t="s">
        <v>20</v>
      </c>
      <c r="V169" s="5">
        <v>0</v>
      </c>
      <c r="W169" s="5">
        <v>0</v>
      </c>
      <c r="X169" s="5">
        <v>0</v>
      </c>
    </row>
    <row r="170" spans="1:24" outlineLevel="3">
      <c r="A170" s="2" t="s">
        <v>224</v>
      </c>
      <c r="B170" s="3">
        <v>444444557</v>
      </c>
      <c r="C170" s="3">
        <v>0</v>
      </c>
      <c r="D170" s="2" t="s">
        <v>225</v>
      </c>
      <c r="E170" s="2">
        <v>22486520</v>
      </c>
      <c r="F170" s="2" t="s">
        <v>226</v>
      </c>
      <c r="G170" s="2" t="s">
        <v>63</v>
      </c>
      <c r="H170" s="2" t="s">
        <v>28</v>
      </c>
      <c r="I170" s="2" t="s">
        <v>29</v>
      </c>
      <c r="J170" s="2" t="s">
        <v>30</v>
      </c>
      <c r="K170" s="2" t="s">
        <v>50</v>
      </c>
      <c r="L170" s="2" t="s">
        <v>51</v>
      </c>
      <c r="M170" s="2" t="s">
        <v>33</v>
      </c>
      <c r="N170" s="3">
        <v>0</v>
      </c>
      <c r="O170" s="2" t="s">
        <v>34</v>
      </c>
      <c r="P170" s="2" t="s">
        <v>237</v>
      </c>
      <c r="Q170" s="4">
        <v>45594</v>
      </c>
      <c r="R170" s="4">
        <v>45594</v>
      </c>
      <c r="S170" s="3">
        <v>-512</v>
      </c>
      <c r="T170" s="5">
        <v>0</v>
      </c>
      <c r="U170" s="2" t="s">
        <v>20</v>
      </c>
      <c r="V170" s="5">
        <v>0</v>
      </c>
      <c r="W170" s="5">
        <v>0</v>
      </c>
      <c r="X170" s="5">
        <v>0</v>
      </c>
    </row>
    <row r="171" spans="1:24" outlineLevel="3">
      <c r="A171" s="2" t="s">
        <v>224</v>
      </c>
      <c r="B171" s="3">
        <v>444444557</v>
      </c>
      <c r="C171" s="3">
        <v>0</v>
      </c>
      <c r="D171" s="2" t="s">
        <v>225</v>
      </c>
      <c r="E171" s="2">
        <v>22486520</v>
      </c>
      <c r="F171" s="2" t="s">
        <v>226</v>
      </c>
      <c r="G171" s="2" t="s">
        <v>63</v>
      </c>
      <c r="H171" s="2" t="s">
        <v>28</v>
      </c>
      <c r="I171" s="2" t="s">
        <v>29</v>
      </c>
      <c r="J171" s="2" t="s">
        <v>30</v>
      </c>
      <c r="K171" s="2" t="s">
        <v>50</v>
      </c>
      <c r="L171" s="2" t="s">
        <v>51</v>
      </c>
      <c r="M171" s="2" t="s">
        <v>33</v>
      </c>
      <c r="N171" s="3">
        <v>0</v>
      </c>
      <c r="O171" s="2" t="s">
        <v>34</v>
      </c>
      <c r="P171" s="2" t="s">
        <v>238</v>
      </c>
      <c r="Q171" s="4">
        <v>45623</v>
      </c>
      <c r="R171" s="4">
        <v>45623</v>
      </c>
      <c r="S171" s="3">
        <v>-484</v>
      </c>
      <c r="T171" s="5">
        <v>0</v>
      </c>
      <c r="U171" s="2" t="s">
        <v>20</v>
      </c>
      <c r="V171" s="5">
        <v>0</v>
      </c>
      <c r="W171" s="5">
        <v>0</v>
      </c>
      <c r="X171" s="5">
        <v>0</v>
      </c>
    </row>
    <row r="172" spans="1:24" outlineLevel="3">
      <c r="A172" s="2" t="s">
        <v>224</v>
      </c>
      <c r="B172" s="3">
        <v>444444557</v>
      </c>
      <c r="C172" s="3">
        <v>0</v>
      </c>
      <c r="D172" s="2" t="s">
        <v>225</v>
      </c>
      <c r="E172" s="2">
        <v>22486520</v>
      </c>
      <c r="F172" s="2" t="s">
        <v>226</v>
      </c>
      <c r="G172" s="2" t="s">
        <v>63</v>
      </c>
      <c r="H172" s="2" t="s">
        <v>28</v>
      </c>
      <c r="I172" s="2" t="s">
        <v>29</v>
      </c>
      <c r="J172" s="2" t="s">
        <v>30</v>
      </c>
      <c r="K172" s="2" t="s">
        <v>50</v>
      </c>
      <c r="L172" s="2" t="s">
        <v>51</v>
      </c>
      <c r="M172" s="2" t="s">
        <v>33</v>
      </c>
      <c r="N172" s="3">
        <v>0</v>
      </c>
      <c r="O172" s="2" t="s">
        <v>34</v>
      </c>
      <c r="P172" s="2" t="s">
        <v>239</v>
      </c>
      <c r="Q172" s="4">
        <v>45702</v>
      </c>
      <c r="R172" s="4">
        <v>45702</v>
      </c>
      <c r="S172" s="3">
        <v>-407</v>
      </c>
      <c r="T172" s="5">
        <v>0</v>
      </c>
      <c r="U172" s="2" t="s">
        <v>20</v>
      </c>
      <c r="V172" s="5">
        <v>0</v>
      </c>
      <c r="W172" s="5">
        <v>0</v>
      </c>
      <c r="X172" s="5">
        <v>0</v>
      </c>
    </row>
    <row r="173" spans="1:24" outlineLevel="3">
      <c r="A173" s="2" t="s">
        <v>224</v>
      </c>
      <c r="B173" s="3">
        <v>444444557</v>
      </c>
      <c r="C173" s="3">
        <v>0</v>
      </c>
      <c r="D173" s="2" t="s">
        <v>225</v>
      </c>
      <c r="E173" s="2">
        <v>22486520</v>
      </c>
      <c r="F173" s="2" t="s">
        <v>226</v>
      </c>
      <c r="G173" s="2" t="s">
        <v>63</v>
      </c>
      <c r="H173" s="2" t="s">
        <v>28</v>
      </c>
      <c r="I173" s="2" t="s">
        <v>29</v>
      </c>
      <c r="J173" s="2" t="s">
        <v>30</v>
      </c>
      <c r="K173" s="2" t="s">
        <v>50</v>
      </c>
      <c r="L173" s="2" t="s">
        <v>51</v>
      </c>
      <c r="M173" s="2" t="s">
        <v>33</v>
      </c>
      <c r="N173" s="3">
        <v>0</v>
      </c>
      <c r="O173" s="2" t="s">
        <v>34</v>
      </c>
      <c r="P173" s="2" t="s">
        <v>240</v>
      </c>
      <c r="Q173" s="4">
        <v>45722</v>
      </c>
      <c r="R173" s="4">
        <v>45722</v>
      </c>
      <c r="S173" s="3">
        <v>-385</v>
      </c>
      <c r="T173" s="5">
        <v>0</v>
      </c>
      <c r="U173" s="2" t="s">
        <v>20</v>
      </c>
      <c r="V173" s="5">
        <v>0</v>
      </c>
      <c r="W173" s="5">
        <v>0</v>
      </c>
      <c r="X173" s="5">
        <v>0</v>
      </c>
    </row>
    <row r="174" spans="1:24" outlineLevel="3">
      <c r="A174" s="2" t="s">
        <v>224</v>
      </c>
      <c r="B174" s="3">
        <v>444444557</v>
      </c>
      <c r="C174" s="3">
        <v>0</v>
      </c>
      <c r="D174" s="2" t="s">
        <v>225</v>
      </c>
      <c r="E174" s="2">
        <v>22486520</v>
      </c>
      <c r="F174" s="2" t="s">
        <v>226</v>
      </c>
      <c r="G174" s="2" t="s">
        <v>63</v>
      </c>
      <c r="H174" s="2" t="s">
        <v>28</v>
      </c>
      <c r="I174" s="2" t="s">
        <v>29</v>
      </c>
      <c r="J174" s="2" t="s">
        <v>30</v>
      </c>
      <c r="K174" s="2" t="s">
        <v>50</v>
      </c>
      <c r="L174" s="2" t="s">
        <v>51</v>
      </c>
      <c r="M174" s="2" t="s">
        <v>33</v>
      </c>
      <c r="N174" s="3">
        <v>0</v>
      </c>
      <c r="O174" s="2" t="s">
        <v>34</v>
      </c>
      <c r="P174" s="2" t="s">
        <v>241</v>
      </c>
      <c r="Q174" s="4">
        <v>45735</v>
      </c>
      <c r="R174" s="4">
        <v>45735</v>
      </c>
      <c r="S174" s="3">
        <v>-372</v>
      </c>
      <c r="T174" s="5">
        <v>0</v>
      </c>
      <c r="U174" s="2" t="s">
        <v>20</v>
      </c>
      <c r="V174" s="5">
        <v>0</v>
      </c>
      <c r="W174" s="5">
        <v>0</v>
      </c>
      <c r="X174" s="5">
        <v>0</v>
      </c>
    </row>
    <row r="175" spans="1:24" outlineLevel="3">
      <c r="A175" s="2" t="s">
        <v>224</v>
      </c>
      <c r="B175" s="3">
        <v>444444557</v>
      </c>
      <c r="C175" s="3">
        <v>0</v>
      </c>
      <c r="D175" s="2" t="s">
        <v>225</v>
      </c>
      <c r="E175" s="2">
        <v>22486520</v>
      </c>
      <c r="F175" s="2" t="s">
        <v>226</v>
      </c>
      <c r="G175" s="2" t="s">
        <v>63</v>
      </c>
      <c r="H175" s="2" t="s">
        <v>28</v>
      </c>
      <c r="I175" s="2" t="s">
        <v>29</v>
      </c>
      <c r="J175" s="2" t="s">
        <v>30</v>
      </c>
      <c r="K175" s="2" t="s">
        <v>50</v>
      </c>
      <c r="L175" s="2" t="s">
        <v>51</v>
      </c>
      <c r="M175" s="2" t="s">
        <v>33</v>
      </c>
      <c r="N175" s="3">
        <v>0</v>
      </c>
      <c r="O175" s="2" t="s">
        <v>34</v>
      </c>
      <c r="P175" s="2" t="s">
        <v>242</v>
      </c>
      <c r="Q175" s="4">
        <v>45761</v>
      </c>
      <c r="R175" s="4">
        <v>45761</v>
      </c>
      <c r="S175" s="3">
        <v>-347</v>
      </c>
      <c r="T175" s="5">
        <v>0</v>
      </c>
      <c r="U175" s="2" t="s">
        <v>20</v>
      </c>
      <c r="V175" s="5">
        <v>0</v>
      </c>
      <c r="W175" s="5">
        <v>0</v>
      </c>
      <c r="X175" s="5">
        <v>0</v>
      </c>
    </row>
    <row r="176" spans="1:24" outlineLevel="3">
      <c r="A176" s="2" t="s">
        <v>224</v>
      </c>
      <c r="B176" s="3">
        <v>444444557</v>
      </c>
      <c r="C176" s="3">
        <v>0</v>
      </c>
      <c r="D176" s="2" t="s">
        <v>225</v>
      </c>
      <c r="E176" s="2">
        <v>22486520</v>
      </c>
      <c r="F176" s="2" t="s">
        <v>226</v>
      </c>
      <c r="G176" s="2" t="s">
        <v>63</v>
      </c>
      <c r="H176" s="2" t="s">
        <v>28</v>
      </c>
      <c r="I176" s="2" t="s">
        <v>29</v>
      </c>
      <c r="J176" s="2" t="s">
        <v>30</v>
      </c>
      <c r="K176" s="2" t="s">
        <v>50</v>
      </c>
      <c r="L176" s="2" t="s">
        <v>51</v>
      </c>
      <c r="M176" s="2" t="s">
        <v>33</v>
      </c>
      <c r="N176" s="3">
        <v>0</v>
      </c>
      <c r="O176" s="2" t="s">
        <v>34</v>
      </c>
      <c r="P176" s="2" t="s">
        <v>243</v>
      </c>
      <c r="Q176" s="4">
        <v>45848</v>
      </c>
      <c r="R176" s="4">
        <v>45848</v>
      </c>
      <c r="S176" s="3">
        <v>-261</v>
      </c>
      <c r="T176" s="5">
        <v>0</v>
      </c>
      <c r="U176" s="2" t="s">
        <v>20</v>
      </c>
      <c r="V176" s="5">
        <v>0</v>
      </c>
      <c r="W176" s="5">
        <v>0</v>
      </c>
      <c r="X176" s="5">
        <v>0</v>
      </c>
    </row>
    <row r="177" spans="1:24" outlineLevel="3">
      <c r="A177" s="2" t="s">
        <v>224</v>
      </c>
      <c r="B177" s="3">
        <v>444444557</v>
      </c>
      <c r="C177" s="3">
        <v>0</v>
      </c>
      <c r="D177" s="2" t="s">
        <v>225</v>
      </c>
      <c r="E177" s="2">
        <v>22486520</v>
      </c>
      <c r="F177" s="2" t="s">
        <v>226</v>
      </c>
      <c r="G177" s="2" t="s">
        <v>63</v>
      </c>
      <c r="H177" s="2" t="s">
        <v>28</v>
      </c>
      <c r="I177" s="2" t="s">
        <v>29</v>
      </c>
      <c r="J177" s="2" t="s">
        <v>244</v>
      </c>
      <c r="K177" s="2" t="s">
        <v>50</v>
      </c>
      <c r="L177" s="2" t="s">
        <v>51</v>
      </c>
      <c r="M177" s="2" t="s">
        <v>33</v>
      </c>
      <c r="N177" s="3">
        <v>0</v>
      </c>
      <c r="O177" s="2" t="s">
        <v>34</v>
      </c>
      <c r="P177" s="2" t="s">
        <v>245</v>
      </c>
      <c r="Q177" s="4">
        <v>45854</v>
      </c>
      <c r="R177" s="4">
        <v>45854</v>
      </c>
      <c r="S177" s="3">
        <v>-255</v>
      </c>
      <c r="T177" s="5">
        <v>0</v>
      </c>
      <c r="U177" s="2" t="s">
        <v>20</v>
      </c>
      <c r="V177" s="5">
        <v>0</v>
      </c>
      <c r="W177" s="5">
        <v>0</v>
      </c>
      <c r="X177" s="5">
        <v>0</v>
      </c>
    </row>
    <row r="178" spans="1:24" outlineLevel="3">
      <c r="A178" s="2" t="s">
        <v>224</v>
      </c>
      <c r="B178" s="3">
        <v>444444557</v>
      </c>
      <c r="C178" s="3">
        <v>0</v>
      </c>
      <c r="D178" s="2" t="s">
        <v>225</v>
      </c>
      <c r="E178" s="2">
        <v>22486520</v>
      </c>
      <c r="F178" s="2" t="s">
        <v>226</v>
      </c>
      <c r="G178" s="2" t="s">
        <v>63</v>
      </c>
      <c r="H178" s="2" t="s">
        <v>28</v>
      </c>
      <c r="I178" s="2" t="s">
        <v>29</v>
      </c>
      <c r="J178" s="2" t="s">
        <v>30</v>
      </c>
      <c r="K178" s="2" t="s">
        <v>50</v>
      </c>
      <c r="L178" s="2" t="s">
        <v>51</v>
      </c>
      <c r="M178" s="2" t="s">
        <v>33</v>
      </c>
      <c r="N178" s="3">
        <v>0</v>
      </c>
      <c r="O178" s="2" t="s">
        <v>34</v>
      </c>
      <c r="P178" s="2" t="s">
        <v>246</v>
      </c>
      <c r="Q178" s="4">
        <v>45925</v>
      </c>
      <c r="R178" s="4">
        <v>45925</v>
      </c>
      <c r="S178" s="3">
        <v>-186</v>
      </c>
      <c r="T178" s="5">
        <v>0</v>
      </c>
      <c r="U178" s="2" t="s">
        <v>20</v>
      </c>
      <c r="V178" s="5">
        <v>0</v>
      </c>
      <c r="W178" s="5">
        <v>0</v>
      </c>
      <c r="X178" s="5">
        <v>0</v>
      </c>
    </row>
    <row r="179" spans="1:24" outlineLevel="3">
      <c r="A179" s="2" t="s">
        <v>224</v>
      </c>
      <c r="B179" s="3">
        <v>444444557</v>
      </c>
      <c r="C179" s="3">
        <v>0</v>
      </c>
      <c r="D179" s="2" t="s">
        <v>225</v>
      </c>
      <c r="E179" s="2">
        <v>22486520</v>
      </c>
      <c r="F179" s="2" t="s">
        <v>226</v>
      </c>
      <c r="G179" s="2" t="s">
        <v>63</v>
      </c>
      <c r="H179" s="2" t="s">
        <v>28</v>
      </c>
      <c r="I179" s="2" t="s">
        <v>29</v>
      </c>
      <c r="J179" s="2" t="s">
        <v>30</v>
      </c>
      <c r="K179" s="2" t="s">
        <v>50</v>
      </c>
      <c r="L179" s="2" t="s">
        <v>51</v>
      </c>
      <c r="M179" s="2" t="s">
        <v>33</v>
      </c>
      <c r="N179" s="3">
        <v>0</v>
      </c>
      <c r="O179" s="2" t="s">
        <v>34</v>
      </c>
      <c r="P179" s="2" t="s">
        <v>247</v>
      </c>
      <c r="Q179" s="4">
        <v>45985</v>
      </c>
      <c r="R179" s="4">
        <v>45985</v>
      </c>
      <c r="S179" s="3">
        <v>-127</v>
      </c>
      <c r="T179" s="5">
        <v>0</v>
      </c>
      <c r="U179" s="2" t="s">
        <v>20</v>
      </c>
      <c r="V179" s="5">
        <v>0</v>
      </c>
      <c r="W179" s="5">
        <v>0</v>
      </c>
      <c r="X179" s="5">
        <v>0</v>
      </c>
    </row>
    <row r="180" spans="1:24" outlineLevel="3">
      <c r="A180" s="2" t="s">
        <v>224</v>
      </c>
      <c r="B180" s="3">
        <v>444444557</v>
      </c>
      <c r="C180" s="3">
        <v>0</v>
      </c>
      <c r="D180" s="2" t="s">
        <v>225</v>
      </c>
      <c r="E180" s="2">
        <v>22486520</v>
      </c>
      <c r="F180" s="2" t="s">
        <v>226</v>
      </c>
      <c r="G180" s="2" t="s">
        <v>63</v>
      </c>
      <c r="H180" s="2" t="s">
        <v>28</v>
      </c>
      <c r="I180" s="2" t="s">
        <v>29</v>
      </c>
      <c r="J180" s="2" t="s">
        <v>123</v>
      </c>
      <c r="K180" s="2" t="s">
        <v>50</v>
      </c>
      <c r="L180" s="2" t="s">
        <v>51</v>
      </c>
      <c r="M180" s="2" t="s">
        <v>33</v>
      </c>
      <c r="N180" s="3">
        <v>0</v>
      </c>
      <c r="O180" s="2" t="s">
        <v>34</v>
      </c>
      <c r="P180" s="2" t="s">
        <v>248</v>
      </c>
      <c r="Q180" s="4">
        <v>46111</v>
      </c>
      <c r="R180" s="4">
        <v>46111</v>
      </c>
      <c r="S180" s="3">
        <v>-1</v>
      </c>
      <c r="T180" s="5">
        <v>0</v>
      </c>
      <c r="U180" s="2" t="s">
        <v>20</v>
      </c>
      <c r="V180" s="5">
        <v>110653722.40000001</v>
      </c>
      <c r="W180" s="5">
        <v>110653722.40000001</v>
      </c>
      <c r="X180" s="5">
        <v>110653722.40000001</v>
      </c>
    </row>
    <row r="181" spans="1:24" outlineLevel="2">
      <c r="M181" s="14" t="s">
        <v>346</v>
      </c>
      <c r="T181" s="5">
        <f>SUBTOTAL(9,T160:T180)</f>
        <v>0</v>
      </c>
      <c r="V181" s="5">
        <f>SUBTOTAL(9,V160:V180)</f>
        <v>110653722.40000001</v>
      </c>
      <c r="W181" s="5">
        <f>SUBTOTAL(9,W160:W180)</f>
        <v>110653722.40000001</v>
      </c>
    </row>
    <row r="182" spans="1:24" outlineLevel="1">
      <c r="A182" s="14" t="s">
        <v>336</v>
      </c>
      <c r="T182" s="5">
        <f>SUBTOTAL(9,T160:T180)</f>
        <v>0</v>
      </c>
      <c r="V182" s="5">
        <f>SUBTOTAL(9,V160:V180)</f>
        <v>110653722.40000001</v>
      </c>
      <c r="W182" s="5">
        <f>SUBTOTAL(9,W160:W180)</f>
        <v>110653722.40000001</v>
      </c>
    </row>
    <row r="183" spans="1:24" outlineLevel="3">
      <c r="A183" s="2" t="s">
        <v>249</v>
      </c>
      <c r="B183" s="3">
        <v>444444575</v>
      </c>
      <c r="C183" s="3">
        <v>0</v>
      </c>
      <c r="D183" s="2" t="s">
        <v>250</v>
      </c>
      <c r="E183" s="2">
        <v>50622489796</v>
      </c>
      <c r="F183" s="2" t="s">
        <v>251</v>
      </c>
      <c r="G183" s="2" t="s">
        <v>252</v>
      </c>
      <c r="H183" s="2" t="s">
        <v>28</v>
      </c>
      <c r="I183" s="2" t="s">
        <v>29</v>
      </c>
      <c r="J183" s="2" t="s">
        <v>30</v>
      </c>
      <c r="K183" s="2" t="s">
        <v>131</v>
      </c>
      <c r="L183" s="2" t="s">
        <v>132</v>
      </c>
      <c r="M183" s="2" t="s">
        <v>33</v>
      </c>
      <c r="N183" s="3">
        <v>0</v>
      </c>
      <c r="O183" s="2" t="s">
        <v>34</v>
      </c>
      <c r="P183" s="2" t="s">
        <v>253</v>
      </c>
      <c r="Q183" s="4">
        <v>44967</v>
      </c>
      <c r="R183" s="4">
        <v>44967</v>
      </c>
      <c r="S183" s="3">
        <v>-1131</v>
      </c>
      <c r="T183" s="5">
        <v>0</v>
      </c>
      <c r="U183" s="2" t="s">
        <v>20</v>
      </c>
      <c r="V183" s="5">
        <v>0</v>
      </c>
      <c r="W183" s="5">
        <v>0</v>
      </c>
      <c r="X183" s="5">
        <v>0</v>
      </c>
    </row>
    <row r="184" spans="1:24" outlineLevel="3">
      <c r="A184" s="2" t="s">
        <v>249</v>
      </c>
      <c r="B184" s="3">
        <v>444444575</v>
      </c>
      <c r="C184" s="3">
        <v>0</v>
      </c>
      <c r="D184" s="2" t="s">
        <v>250</v>
      </c>
      <c r="E184" s="2">
        <v>50622489796</v>
      </c>
      <c r="F184" s="2" t="s">
        <v>251</v>
      </c>
      <c r="G184" s="2" t="s">
        <v>252</v>
      </c>
      <c r="H184" s="2" t="s">
        <v>28</v>
      </c>
      <c r="I184" s="2" t="s">
        <v>29</v>
      </c>
      <c r="J184" s="2" t="s">
        <v>30</v>
      </c>
      <c r="K184" s="2" t="s">
        <v>131</v>
      </c>
      <c r="L184" s="2" t="s">
        <v>132</v>
      </c>
      <c r="M184" s="2" t="s">
        <v>33</v>
      </c>
      <c r="N184" s="3">
        <v>0</v>
      </c>
      <c r="O184" s="2" t="s">
        <v>34</v>
      </c>
      <c r="P184" s="2" t="s">
        <v>254</v>
      </c>
      <c r="Q184" s="4">
        <v>45135</v>
      </c>
      <c r="R184" s="4">
        <v>45135</v>
      </c>
      <c r="S184" s="3">
        <v>-963</v>
      </c>
      <c r="T184" s="5">
        <v>0</v>
      </c>
      <c r="U184" s="2" t="s">
        <v>20</v>
      </c>
      <c r="V184" s="5">
        <v>0</v>
      </c>
      <c r="W184" s="5">
        <v>0</v>
      </c>
      <c r="X184" s="5">
        <v>0</v>
      </c>
    </row>
    <row r="185" spans="1:24" outlineLevel="3">
      <c r="A185" s="2" t="s">
        <v>249</v>
      </c>
      <c r="B185" s="3">
        <v>444444575</v>
      </c>
      <c r="C185" s="3">
        <v>0</v>
      </c>
      <c r="D185" s="2" t="s">
        <v>250</v>
      </c>
      <c r="E185" s="2">
        <v>50622489796</v>
      </c>
      <c r="F185" s="2" t="s">
        <v>251</v>
      </c>
      <c r="G185" s="2" t="s">
        <v>252</v>
      </c>
      <c r="H185" s="2" t="s">
        <v>28</v>
      </c>
      <c r="I185" s="2" t="s">
        <v>29</v>
      </c>
      <c r="J185" s="2" t="s">
        <v>30</v>
      </c>
      <c r="K185" s="2" t="s">
        <v>131</v>
      </c>
      <c r="L185" s="2" t="s">
        <v>132</v>
      </c>
      <c r="M185" s="2" t="s">
        <v>33</v>
      </c>
      <c r="N185" s="3">
        <v>0</v>
      </c>
      <c r="O185" s="2" t="s">
        <v>34</v>
      </c>
      <c r="P185" s="2" t="s">
        <v>255</v>
      </c>
      <c r="Q185" s="4">
        <v>45183</v>
      </c>
      <c r="R185" s="4">
        <v>45183</v>
      </c>
      <c r="S185" s="3">
        <v>-917</v>
      </c>
      <c r="T185" s="5">
        <v>0</v>
      </c>
      <c r="U185" s="2" t="s">
        <v>20</v>
      </c>
      <c r="V185" s="5">
        <v>0</v>
      </c>
      <c r="W185" s="5">
        <v>0</v>
      </c>
      <c r="X185" s="5">
        <v>0</v>
      </c>
    </row>
    <row r="186" spans="1:24" outlineLevel="3">
      <c r="A186" s="2" t="s">
        <v>249</v>
      </c>
      <c r="B186" s="3">
        <v>444444575</v>
      </c>
      <c r="C186" s="3">
        <v>0</v>
      </c>
      <c r="D186" s="2" t="s">
        <v>250</v>
      </c>
      <c r="E186" s="2">
        <v>50622489796</v>
      </c>
      <c r="F186" s="2" t="s">
        <v>251</v>
      </c>
      <c r="G186" s="2" t="s">
        <v>252</v>
      </c>
      <c r="H186" s="2" t="s">
        <v>28</v>
      </c>
      <c r="I186" s="2" t="s">
        <v>29</v>
      </c>
      <c r="J186" s="2" t="s">
        <v>30</v>
      </c>
      <c r="K186" s="2" t="s">
        <v>131</v>
      </c>
      <c r="L186" s="2" t="s">
        <v>132</v>
      </c>
      <c r="M186" s="2" t="s">
        <v>33</v>
      </c>
      <c r="N186" s="3">
        <v>0</v>
      </c>
      <c r="O186" s="2" t="s">
        <v>34</v>
      </c>
      <c r="P186" s="2" t="s">
        <v>256</v>
      </c>
      <c r="Q186" s="4">
        <v>45274</v>
      </c>
      <c r="R186" s="4">
        <v>45335</v>
      </c>
      <c r="S186" s="3">
        <v>-768</v>
      </c>
      <c r="T186" s="5">
        <v>0</v>
      </c>
      <c r="U186" s="2" t="s">
        <v>20</v>
      </c>
      <c r="V186" s="5">
        <v>0</v>
      </c>
      <c r="W186" s="5">
        <v>0</v>
      </c>
      <c r="X186" s="5">
        <v>0</v>
      </c>
    </row>
    <row r="187" spans="1:24" outlineLevel="3">
      <c r="A187" s="2" t="s">
        <v>249</v>
      </c>
      <c r="B187" s="3">
        <v>444444575</v>
      </c>
      <c r="C187" s="3">
        <v>0</v>
      </c>
      <c r="D187" s="2" t="s">
        <v>250</v>
      </c>
      <c r="E187" s="2">
        <v>50622489796</v>
      </c>
      <c r="F187" s="2" t="s">
        <v>251</v>
      </c>
      <c r="G187" s="2" t="s">
        <v>252</v>
      </c>
      <c r="H187" s="2" t="s">
        <v>28</v>
      </c>
      <c r="I187" s="2" t="s">
        <v>29</v>
      </c>
      <c r="J187" s="2" t="s">
        <v>30</v>
      </c>
      <c r="K187" s="2" t="s">
        <v>131</v>
      </c>
      <c r="L187" s="2" t="s">
        <v>132</v>
      </c>
      <c r="M187" s="2" t="s">
        <v>33</v>
      </c>
      <c r="N187" s="3">
        <v>0</v>
      </c>
      <c r="O187" s="2" t="s">
        <v>34</v>
      </c>
      <c r="P187" s="2" t="s">
        <v>257</v>
      </c>
      <c r="Q187" s="4">
        <v>45371</v>
      </c>
      <c r="R187" s="4">
        <v>45431</v>
      </c>
      <c r="S187" s="3">
        <v>-672</v>
      </c>
      <c r="T187" s="5">
        <v>0</v>
      </c>
      <c r="U187" s="2" t="s">
        <v>20</v>
      </c>
      <c r="V187" s="5">
        <v>0</v>
      </c>
      <c r="W187" s="5">
        <v>0</v>
      </c>
      <c r="X187" s="5">
        <v>0</v>
      </c>
    </row>
    <row r="188" spans="1:24" outlineLevel="3">
      <c r="A188" s="2" t="s">
        <v>249</v>
      </c>
      <c r="B188" s="3">
        <v>444444575</v>
      </c>
      <c r="C188" s="3">
        <v>0</v>
      </c>
      <c r="D188" s="2" t="s">
        <v>250</v>
      </c>
      <c r="E188" s="2">
        <v>50622489796</v>
      </c>
      <c r="F188" s="2" t="s">
        <v>251</v>
      </c>
      <c r="G188" s="2" t="s">
        <v>252</v>
      </c>
      <c r="H188" s="2" t="s">
        <v>28</v>
      </c>
      <c r="I188" s="2" t="s">
        <v>29</v>
      </c>
      <c r="J188" s="2" t="s">
        <v>30</v>
      </c>
      <c r="K188" s="2" t="s">
        <v>131</v>
      </c>
      <c r="L188" s="2" t="s">
        <v>132</v>
      </c>
      <c r="M188" s="2" t="s">
        <v>33</v>
      </c>
      <c r="N188" s="3">
        <v>0</v>
      </c>
      <c r="O188" s="2" t="s">
        <v>34</v>
      </c>
      <c r="P188" s="2" t="s">
        <v>258</v>
      </c>
      <c r="Q188" s="4">
        <v>45428</v>
      </c>
      <c r="R188" s="4">
        <v>45488</v>
      </c>
      <c r="S188" s="3">
        <v>-616</v>
      </c>
      <c r="T188" s="5">
        <v>0</v>
      </c>
      <c r="U188" s="2" t="s">
        <v>20</v>
      </c>
      <c r="V188" s="5">
        <v>0</v>
      </c>
      <c r="W188" s="5">
        <v>0</v>
      </c>
      <c r="X188" s="5">
        <v>0</v>
      </c>
    </row>
    <row r="189" spans="1:24" outlineLevel="3">
      <c r="A189" s="2" t="s">
        <v>249</v>
      </c>
      <c r="B189" s="3">
        <v>444444575</v>
      </c>
      <c r="C189" s="3">
        <v>0</v>
      </c>
      <c r="D189" s="2" t="s">
        <v>250</v>
      </c>
      <c r="E189" s="2">
        <v>50622489796</v>
      </c>
      <c r="F189" s="2" t="s">
        <v>251</v>
      </c>
      <c r="G189" s="2" t="s">
        <v>252</v>
      </c>
      <c r="H189" s="2" t="s">
        <v>28</v>
      </c>
      <c r="I189" s="2" t="s">
        <v>29</v>
      </c>
      <c r="J189" s="2" t="s">
        <v>30</v>
      </c>
      <c r="K189" s="2" t="s">
        <v>131</v>
      </c>
      <c r="L189" s="2" t="s">
        <v>132</v>
      </c>
      <c r="M189" s="2" t="s">
        <v>33</v>
      </c>
      <c r="N189" s="3">
        <v>0</v>
      </c>
      <c r="O189" s="2" t="s">
        <v>34</v>
      </c>
      <c r="P189" s="2" t="s">
        <v>259</v>
      </c>
      <c r="Q189" s="4">
        <v>45499</v>
      </c>
      <c r="R189" s="4">
        <v>45530</v>
      </c>
      <c r="S189" s="3">
        <v>-575</v>
      </c>
      <c r="T189" s="5">
        <v>0</v>
      </c>
      <c r="U189" s="2" t="s">
        <v>20</v>
      </c>
      <c r="V189" s="5">
        <v>0</v>
      </c>
      <c r="W189" s="5">
        <v>0</v>
      </c>
      <c r="X189" s="5">
        <v>0</v>
      </c>
    </row>
    <row r="190" spans="1:24" outlineLevel="3">
      <c r="A190" s="2" t="s">
        <v>249</v>
      </c>
      <c r="B190" s="3">
        <v>444444575</v>
      </c>
      <c r="C190" s="3">
        <v>0</v>
      </c>
      <c r="D190" s="2" t="s">
        <v>250</v>
      </c>
      <c r="E190" s="2">
        <v>50622489796</v>
      </c>
      <c r="F190" s="2" t="s">
        <v>251</v>
      </c>
      <c r="G190" s="2" t="s">
        <v>252</v>
      </c>
      <c r="H190" s="2" t="s">
        <v>28</v>
      </c>
      <c r="I190" s="2" t="s">
        <v>29</v>
      </c>
      <c r="J190" s="2" t="s">
        <v>30</v>
      </c>
      <c r="K190" s="2" t="s">
        <v>131</v>
      </c>
      <c r="L190" s="2" t="s">
        <v>132</v>
      </c>
      <c r="M190" s="2" t="s">
        <v>33</v>
      </c>
      <c r="N190" s="3">
        <v>0</v>
      </c>
      <c r="O190" s="2" t="s">
        <v>34</v>
      </c>
      <c r="P190" s="2" t="s">
        <v>260</v>
      </c>
      <c r="Q190" s="4">
        <v>45471</v>
      </c>
      <c r="R190" s="4">
        <v>45531</v>
      </c>
      <c r="S190" s="3">
        <v>-574</v>
      </c>
      <c r="T190" s="5">
        <v>0</v>
      </c>
      <c r="U190" s="2" t="s">
        <v>20</v>
      </c>
      <c r="V190" s="5">
        <v>0</v>
      </c>
      <c r="W190" s="5">
        <v>0</v>
      </c>
      <c r="X190" s="5">
        <v>0</v>
      </c>
    </row>
    <row r="191" spans="1:24" outlineLevel="3">
      <c r="A191" s="2" t="s">
        <v>249</v>
      </c>
      <c r="B191" s="3">
        <v>444444575</v>
      </c>
      <c r="C191" s="3">
        <v>0</v>
      </c>
      <c r="D191" s="2" t="s">
        <v>250</v>
      </c>
      <c r="E191" s="2">
        <v>50622489796</v>
      </c>
      <c r="F191" s="2" t="s">
        <v>251</v>
      </c>
      <c r="G191" s="2" t="s">
        <v>252</v>
      </c>
      <c r="H191" s="2" t="s">
        <v>28</v>
      </c>
      <c r="I191" s="2" t="s">
        <v>29</v>
      </c>
      <c r="J191" s="2" t="s">
        <v>30</v>
      </c>
      <c r="K191" s="2" t="s">
        <v>131</v>
      </c>
      <c r="L191" s="2" t="s">
        <v>132</v>
      </c>
      <c r="M191" s="2" t="s">
        <v>33</v>
      </c>
      <c r="N191" s="3">
        <v>0</v>
      </c>
      <c r="O191" s="2" t="s">
        <v>34</v>
      </c>
      <c r="P191" s="2" t="s">
        <v>261</v>
      </c>
      <c r="Q191" s="4">
        <v>45558</v>
      </c>
      <c r="R191" s="4">
        <v>45587</v>
      </c>
      <c r="S191" s="3">
        <v>-519</v>
      </c>
      <c r="T191" s="5">
        <v>0</v>
      </c>
      <c r="U191" s="2" t="s">
        <v>20</v>
      </c>
      <c r="V191" s="5">
        <v>0</v>
      </c>
      <c r="W191" s="5">
        <v>0</v>
      </c>
      <c r="X191" s="5">
        <v>0</v>
      </c>
    </row>
    <row r="192" spans="1:24" outlineLevel="3">
      <c r="A192" s="2" t="s">
        <v>249</v>
      </c>
      <c r="B192" s="3">
        <v>444444575</v>
      </c>
      <c r="C192" s="3">
        <v>0</v>
      </c>
      <c r="D192" s="2" t="s">
        <v>250</v>
      </c>
      <c r="E192" s="2">
        <v>50622489796</v>
      </c>
      <c r="F192" s="2" t="s">
        <v>251</v>
      </c>
      <c r="G192" s="2" t="s">
        <v>252</v>
      </c>
      <c r="H192" s="2" t="s">
        <v>28</v>
      </c>
      <c r="I192" s="2" t="s">
        <v>29</v>
      </c>
      <c r="J192" s="2" t="s">
        <v>30</v>
      </c>
      <c r="K192" s="2" t="s">
        <v>131</v>
      </c>
      <c r="L192" s="2" t="s">
        <v>132</v>
      </c>
      <c r="M192" s="2" t="s">
        <v>33</v>
      </c>
      <c r="N192" s="3">
        <v>0</v>
      </c>
      <c r="O192" s="2" t="s">
        <v>34</v>
      </c>
      <c r="P192" s="2" t="s">
        <v>262</v>
      </c>
      <c r="Q192" s="4">
        <v>45644</v>
      </c>
      <c r="R192" s="4">
        <v>45733</v>
      </c>
      <c r="S192" s="3">
        <v>-374</v>
      </c>
      <c r="T192" s="5">
        <v>0</v>
      </c>
      <c r="U192" s="2" t="s">
        <v>20</v>
      </c>
      <c r="V192" s="5">
        <v>0</v>
      </c>
      <c r="W192" s="5">
        <v>0</v>
      </c>
      <c r="X192" s="5">
        <v>0</v>
      </c>
    </row>
    <row r="193" spans="1:24" outlineLevel="3">
      <c r="A193" s="2" t="s">
        <v>249</v>
      </c>
      <c r="B193" s="3">
        <v>444444575</v>
      </c>
      <c r="C193" s="3">
        <v>0</v>
      </c>
      <c r="D193" s="2" t="s">
        <v>250</v>
      </c>
      <c r="E193" s="2">
        <v>50622489796</v>
      </c>
      <c r="F193" s="2" t="s">
        <v>251</v>
      </c>
      <c r="G193" s="2" t="s">
        <v>252</v>
      </c>
      <c r="H193" s="2" t="s">
        <v>28</v>
      </c>
      <c r="I193" s="2" t="s">
        <v>29</v>
      </c>
      <c r="J193" s="2" t="s">
        <v>30</v>
      </c>
      <c r="K193" s="2" t="s">
        <v>131</v>
      </c>
      <c r="L193" s="2" t="s">
        <v>132</v>
      </c>
      <c r="M193" s="2" t="s">
        <v>33</v>
      </c>
      <c r="N193" s="3">
        <v>0</v>
      </c>
      <c r="O193" s="2" t="s">
        <v>34</v>
      </c>
      <c r="P193" s="2" t="s">
        <v>263</v>
      </c>
      <c r="Q193" s="4">
        <v>45744</v>
      </c>
      <c r="R193" s="4">
        <v>45804</v>
      </c>
      <c r="S193" s="3">
        <v>-304</v>
      </c>
      <c r="T193" s="5">
        <v>0</v>
      </c>
      <c r="U193" s="2" t="s">
        <v>20</v>
      </c>
      <c r="V193" s="5">
        <v>0</v>
      </c>
      <c r="W193" s="5">
        <v>0</v>
      </c>
      <c r="X193" s="5">
        <v>0</v>
      </c>
    </row>
    <row r="194" spans="1:24" outlineLevel="3">
      <c r="A194" s="2" t="s">
        <v>249</v>
      </c>
      <c r="B194" s="3">
        <v>444444575</v>
      </c>
      <c r="C194" s="3">
        <v>0</v>
      </c>
      <c r="D194" s="2" t="s">
        <v>250</v>
      </c>
      <c r="E194" s="2">
        <v>50622489796</v>
      </c>
      <c r="F194" s="2" t="s">
        <v>251</v>
      </c>
      <c r="G194" s="2" t="s">
        <v>252</v>
      </c>
      <c r="H194" s="2" t="s">
        <v>28</v>
      </c>
      <c r="I194" s="2" t="s">
        <v>29</v>
      </c>
      <c r="J194" s="2" t="s">
        <v>30</v>
      </c>
      <c r="K194" s="2" t="s">
        <v>131</v>
      </c>
      <c r="L194" s="2" t="s">
        <v>132</v>
      </c>
      <c r="M194" s="2" t="s">
        <v>33</v>
      </c>
      <c r="N194" s="3">
        <v>0</v>
      </c>
      <c r="O194" s="2" t="s">
        <v>34</v>
      </c>
      <c r="P194" s="2" t="s">
        <v>264</v>
      </c>
      <c r="Q194" s="4">
        <v>45777</v>
      </c>
      <c r="R194" s="4">
        <v>45837</v>
      </c>
      <c r="S194" s="3">
        <v>-272</v>
      </c>
      <c r="T194" s="5">
        <v>0</v>
      </c>
      <c r="U194" s="2" t="s">
        <v>20</v>
      </c>
      <c r="V194" s="5">
        <v>0</v>
      </c>
      <c r="W194" s="5">
        <v>0</v>
      </c>
      <c r="X194" s="5">
        <v>0</v>
      </c>
    </row>
    <row r="195" spans="1:24" outlineLevel="3">
      <c r="A195" s="2" t="s">
        <v>249</v>
      </c>
      <c r="B195" s="3">
        <v>444444575</v>
      </c>
      <c r="C195" s="3">
        <v>0</v>
      </c>
      <c r="D195" s="2" t="s">
        <v>250</v>
      </c>
      <c r="E195" s="2">
        <v>50622489796</v>
      </c>
      <c r="F195" s="2" t="s">
        <v>251</v>
      </c>
      <c r="G195" s="2" t="s">
        <v>252</v>
      </c>
      <c r="H195" s="2" t="s">
        <v>28</v>
      </c>
      <c r="I195" s="2" t="s">
        <v>29</v>
      </c>
      <c r="J195" s="2" t="s">
        <v>30</v>
      </c>
      <c r="K195" s="2" t="s">
        <v>131</v>
      </c>
      <c r="L195" s="2" t="s">
        <v>132</v>
      </c>
      <c r="M195" s="2" t="s">
        <v>33</v>
      </c>
      <c r="N195" s="3">
        <v>0</v>
      </c>
      <c r="O195" s="2" t="s">
        <v>34</v>
      </c>
      <c r="P195" s="2" t="s">
        <v>265</v>
      </c>
      <c r="Q195" s="4">
        <v>45899</v>
      </c>
      <c r="R195" s="4">
        <v>45959</v>
      </c>
      <c r="S195" s="3">
        <v>-152</v>
      </c>
      <c r="T195" s="5">
        <v>0</v>
      </c>
      <c r="U195" s="2" t="s">
        <v>20</v>
      </c>
      <c r="V195" s="5">
        <v>0</v>
      </c>
      <c r="W195" s="5">
        <v>0</v>
      </c>
      <c r="X195" s="5">
        <v>0</v>
      </c>
    </row>
    <row r="196" spans="1:24" outlineLevel="3">
      <c r="A196" s="2" t="s">
        <v>249</v>
      </c>
      <c r="B196" s="3">
        <v>444444575</v>
      </c>
      <c r="C196" s="3">
        <v>0</v>
      </c>
      <c r="D196" s="2" t="s">
        <v>250</v>
      </c>
      <c r="E196" s="2">
        <v>50622489796</v>
      </c>
      <c r="F196" s="2" t="s">
        <v>251</v>
      </c>
      <c r="G196" s="2" t="s">
        <v>252</v>
      </c>
      <c r="H196" s="2" t="s">
        <v>28</v>
      </c>
      <c r="I196" s="2" t="s">
        <v>29</v>
      </c>
      <c r="J196" s="2" t="s">
        <v>30</v>
      </c>
      <c r="K196" s="2" t="s">
        <v>131</v>
      </c>
      <c r="L196" s="2" t="s">
        <v>132</v>
      </c>
      <c r="M196" s="2" t="s">
        <v>33</v>
      </c>
      <c r="N196" s="3">
        <v>0</v>
      </c>
      <c r="O196" s="2" t="s">
        <v>34</v>
      </c>
      <c r="P196" s="2" t="s">
        <v>266</v>
      </c>
      <c r="Q196" s="4">
        <v>45926</v>
      </c>
      <c r="R196" s="4">
        <v>45986</v>
      </c>
      <c r="S196" s="3">
        <v>-126</v>
      </c>
      <c r="T196" s="5">
        <v>0</v>
      </c>
      <c r="U196" s="2" t="s">
        <v>20</v>
      </c>
      <c r="V196" s="5">
        <v>0</v>
      </c>
      <c r="W196" s="5">
        <v>0</v>
      </c>
      <c r="X196" s="5">
        <v>0</v>
      </c>
    </row>
    <row r="197" spans="1:24" outlineLevel="3">
      <c r="A197" s="2" t="s">
        <v>249</v>
      </c>
      <c r="B197" s="3">
        <v>444444575</v>
      </c>
      <c r="C197" s="3">
        <v>0</v>
      </c>
      <c r="D197" s="2" t="s">
        <v>250</v>
      </c>
      <c r="E197" s="2">
        <v>50622489796</v>
      </c>
      <c r="F197" s="2" t="s">
        <v>251</v>
      </c>
      <c r="G197" s="2" t="s">
        <v>252</v>
      </c>
      <c r="H197" s="2" t="s">
        <v>28</v>
      </c>
      <c r="I197" s="2" t="s">
        <v>29</v>
      </c>
      <c r="J197" s="2" t="s">
        <v>30</v>
      </c>
      <c r="K197" s="2" t="s">
        <v>131</v>
      </c>
      <c r="L197" s="2" t="s">
        <v>132</v>
      </c>
      <c r="M197" s="2" t="s">
        <v>33</v>
      </c>
      <c r="N197" s="3">
        <v>0</v>
      </c>
      <c r="O197" s="2" t="s">
        <v>34</v>
      </c>
      <c r="P197" s="2" t="s">
        <v>267</v>
      </c>
      <c r="Q197" s="4">
        <v>46000</v>
      </c>
      <c r="R197" s="4">
        <v>46000</v>
      </c>
      <c r="S197" s="3">
        <v>-112</v>
      </c>
      <c r="T197" s="5">
        <v>0</v>
      </c>
      <c r="U197" s="2" t="s">
        <v>20</v>
      </c>
      <c r="V197" s="5">
        <v>0</v>
      </c>
      <c r="W197" s="5">
        <v>0</v>
      </c>
      <c r="X197" s="5">
        <v>0</v>
      </c>
    </row>
    <row r="198" spans="1:24" outlineLevel="3">
      <c r="A198" s="2" t="s">
        <v>249</v>
      </c>
      <c r="B198" s="3">
        <v>444444575</v>
      </c>
      <c r="C198" s="3">
        <v>0</v>
      </c>
      <c r="D198" s="2" t="s">
        <v>250</v>
      </c>
      <c r="E198" s="2">
        <v>50622489796</v>
      </c>
      <c r="F198" s="2" t="s">
        <v>251</v>
      </c>
      <c r="G198" s="2" t="s">
        <v>252</v>
      </c>
      <c r="H198" s="2" t="s">
        <v>28</v>
      </c>
      <c r="I198" s="2" t="s">
        <v>29</v>
      </c>
      <c r="J198" s="2" t="s">
        <v>58</v>
      </c>
      <c r="K198" s="2" t="s">
        <v>131</v>
      </c>
      <c r="L198" s="2" t="s">
        <v>132</v>
      </c>
      <c r="M198" s="2" t="s">
        <v>33</v>
      </c>
      <c r="N198" s="3">
        <v>0</v>
      </c>
      <c r="O198" s="2" t="s">
        <v>34</v>
      </c>
      <c r="P198" s="2" t="s">
        <v>268</v>
      </c>
      <c r="Q198" s="4">
        <v>46051</v>
      </c>
      <c r="R198" s="4">
        <v>46109</v>
      </c>
      <c r="S198" s="3">
        <v>-3</v>
      </c>
      <c r="T198" s="5">
        <v>0</v>
      </c>
      <c r="U198" s="2" t="s">
        <v>20</v>
      </c>
      <c r="V198" s="5">
        <v>110867181.23999999</v>
      </c>
      <c r="W198" s="5">
        <v>110867181.23999999</v>
      </c>
      <c r="X198" s="5">
        <v>110867181.23999999</v>
      </c>
    </row>
    <row r="199" spans="1:24" outlineLevel="3">
      <c r="A199" s="2" t="s">
        <v>249</v>
      </c>
      <c r="B199" s="3">
        <v>444444575</v>
      </c>
      <c r="C199" s="3">
        <v>0</v>
      </c>
      <c r="D199" s="2" t="s">
        <v>250</v>
      </c>
      <c r="E199" s="2">
        <v>50622489796</v>
      </c>
      <c r="F199" s="2" t="s">
        <v>251</v>
      </c>
      <c r="G199" s="2" t="s">
        <v>252</v>
      </c>
      <c r="H199" s="2" t="s">
        <v>28</v>
      </c>
      <c r="I199" s="2" t="s">
        <v>29</v>
      </c>
      <c r="J199" s="2" t="s">
        <v>58</v>
      </c>
      <c r="K199" s="2" t="s">
        <v>131</v>
      </c>
      <c r="L199" s="2" t="s">
        <v>132</v>
      </c>
      <c r="M199" s="2" t="s">
        <v>33</v>
      </c>
      <c r="N199" s="3">
        <v>0</v>
      </c>
      <c r="O199" s="2" t="s">
        <v>34</v>
      </c>
      <c r="P199" s="2" t="s">
        <v>269</v>
      </c>
      <c r="Q199" s="4">
        <v>46106</v>
      </c>
      <c r="R199" s="4">
        <v>46166</v>
      </c>
      <c r="S199" s="3">
        <v>53</v>
      </c>
      <c r="T199" s="5">
        <v>0</v>
      </c>
      <c r="U199" s="2" t="s">
        <v>126</v>
      </c>
      <c r="V199" s="5">
        <v>74429725.370000005</v>
      </c>
      <c r="W199" s="5">
        <v>0</v>
      </c>
      <c r="X199" s="5">
        <v>110867181.23999999</v>
      </c>
    </row>
    <row r="200" spans="1:24" outlineLevel="2">
      <c r="M200" s="14" t="s">
        <v>346</v>
      </c>
      <c r="T200" s="5">
        <f>SUBTOTAL(9,T183:T199)</f>
        <v>0</v>
      </c>
      <c r="V200" s="5">
        <f>SUBTOTAL(9,V183:V199)</f>
        <v>185296906.61000001</v>
      </c>
      <c r="W200" s="5">
        <f>SUBTOTAL(9,W183:W199)</f>
        <v>110867181.23999999</v>
      </c>
    </row>
    <row r="201" spans="1:24" outlineLevel="1">
      <c r="A201" s="14" t="s">
        <v>337</v>
      </c>
      <c r="T201" s="5">
        <f>SUBTOTAL(9,T183:T199)</f>
        <v>0</v>
      </c>
      <c r="V201" s="5">
        <f>SUBTOTAL(9,V183:V199)</f>
        <v>185296906.61000001</v>
      </c>
      <c r="W201" s="5">
        <f>SUBTOTAL(9,W183:W199)</f>
        <v>110867181.23999999</v>
      </c>
    </row>
    <row r="202" spans="1:24" outlineLevel="3">
      <c r="A202" s="2" t="s">
        <v>270</v>
      </c>
      <c r="B202" s="3">
        <v>444444578</v>
      </c>
      <c r="C202" s="3">
        <v>0</v>
      </c>
      <c r="D202" s="2" t="s">
        <v>271</v>
      </c>
      <c r="E202" s="2">
        <v>5676994</v>
      </c>
      <c r="F202" s="2" t="s">
        <v>272</v>
      </c>
      <c r="G202" s="2" t="s">
        <v>273</v>
      </c>
      <c r="H202" s="2" t="s">
        <v>28</v>
      </c>
      <c r="I202" s="2" t="s">
        <v>29</v>
      </c>
      <c r="J202" s="2" t="s">
        <v>30</v>
      </c>
      <c r="K202" s="2" t="s">
        <v>274</v>
      </c>
      <c r="L202" s="2" t="s">
        <v>275</v>
      </c>
      <c r="M202" s="2" t="s">
        <v>33</v>
      </c>
      <c r="N202" s="3">
        <v>0</v>
      </c>
      <c r="O202" s="2" t="s">
        <v>34</v>
      </c>
      <c r="P202" s="2" t="s">
        <v>276</v>
      </c>
      <c r="Q202" s="4">
        <v>44957</v>
      </c>
      <c r="R202" s="4">
        <v>45014</v>
      </c>
      <c r="S202" s="3">
        <v>-1082</v>
      </c>
      <c r="T202" s="5">
        <v>0</v>
      </c>
      <c r="U202" s="2" t="s">
        <v>20</v>
      </c>
      <c r="V202" s="5">
        <v>0</v>
      </c>
      <c r="W202" s="5">
        <v>0</v>
      </c>
      <c r="X202" s="5">
        <v>0</v>
      </c>
    </row>
    <row r="203" spans="1:24" outlineLevel="3">
      <c r="A203" s="2" t="s">
        <v>270</v>
      </c>
      <c r="B203" s="3">
        <v>444444578</v>
      </c>
      <c r="C203" s="3">
        <v>0</v>
      </c>
      <c r="D203" s="2" t="s">
        <v>271</v>
      </c>
      <c r="E203" s="2">
        <v>5676994</v>
      </c>
      <c r="F203" s="2" t="s">
        <v>272</v>
      </c>
      <c r="G203" s="2" t="s">
        <v>273</v>
      </c>
      <c r="H203" s="2" t="s">
        <v>28</v>
      </c>
      <c r="I203" s="2" t="s">
        <v>29</v>
      </c>
      <c r="J203" s="2" t="s">
        <v>30</v>
      </c>
      <c r="K203" s="2" t="s">
        <v>274</v>
      </c>
      <c r="L203" s="2" t="s">
        <v>275</v>
      </c>
      <c r="M203" s="2" t="s">
        <v>33</v>
      </c>
      <c r="N203" s="3">
        <v>0</v>
      </c>
      <c r="O203" s="2" t="s">
        <v>34</v>
      </c>
      <c r="P203" s="2" t="s">
        <v>277</v>
      </c>
      <c r="Q203" s="4">
        <v>45156</v>
      </c>
      <c r="R203" s="4">
        <v>45156</v>
      </c>
      <c r="S203" s="3">
        <v>-943</v>
      </c>
      <c r="T203" s="5">
        <v>0</v>
      </c>
      <c r="U203" s="2" t="s">
        <v>20</v>
      </c>
      <c r="V203" s="5">
        <v>0</v>
      </c>
      <c r="W203" s="5">
        <v>0</v>
      </c>
      <c r="X203" s="5">
        <v>0</v>
      </c>
    </row>
    <row r="204" spans="1:24" outlineLevel="3">
      <c r="A204" s="2" t="s">
        <v>270</v>
      </c>
      <c r="B204" s="3">
        <v>444444578</v>
      </c>
      <c r="C204" s="3">
        <v>0</v>
      </c>
      <c r="D204" s="2" t="s">
        <v>271</v>
      </c>
      <c r="E204" s="2">
        <v>5676994</v>
      </c>
      <c r="F204" s="2" t="s">
        <v>272</v>
      </c>
      <c r="G204" s="2" t="s">
        <v>273</v>
      </c>
      <c r="H204" s="2" t="s">
        <v>28</v>
      </c>
      <c r="I204" s="2" t="s">
        <v>29</v>
      </c>
      <c r="J204" s="2" t="s">
        <v>30</v>
      </c>
      <c r="K204" s="2" t="s">
        <v>274</v>
      </c>
      <c r="L204" s="2" t="s">
        <v>275</v>
      </c>
      <c r="M204" s="2" t="s">
        <v>33</v>
      </c>
      <c r="N204" s="3">
        <v>0</v>
      </c>
      <c r="O204" s="2" t="s">
        <v>34</v>
      </c>
      <c r="P204" s="2" t="s">
        <v>278</v>
      </c>
      <c r="Q204" s="4">
        <v>45126</v>
      </c>
      <c r="R204" s="4">
        <v>45187</v>
      </c>
      <c r="S204" s="3">
        <v>-913</v>
      </c>
      <c r="T204" s="5">
        <v>0</v>
      </c>
      <c r="U204" s="2" t="s">
        <v>20</v>
      </c>
      <c r="V204" s="5">
        <v>0</v>
      </c>
      <c r="W204" s="5">
        <v>0</v>
      </c>
      <c r="X204" s="5">
        <v>0</v>
      </c>
    </row>
    <row r="205" spans="1:24" outlineLevel="3">
      <c r="A205" s="2" t="s">
        <v>270</v>
      </c>
      <c r="B205" s="3">
        <v>444444578</v>
      </c>
      <c r="C205" s="3">
        <v>0</v>
      </c>
      <c r="D205" s="2" t="s">
        <v>271</v>
      </c>
      <c r="E205" s="2">
        <v>5676994</v>
      </c>
      <c r="F205" s="2" t="s">
        <v>272</v>
      </c>
      <c r="G205" s="2" t="s">
        <v>273</v>
      </c>
      <c r="H205" s="2" t="s">
        <v>28</v>
      </c>
      <c r="I205" s="2" t="s">
        <v>29</v>
      </c>
      <c r="J205" s="2" t="s">
        <v>30</v>
      </c>
      <c r="K205" s="2" t="s">
        <v>274</v>
      </c>
      <c r="L205" s="2" t="s">
        <v>275</v>
      </c>
      <c r="M205" s="2" t="s">
        <v>33</v>
      </c>
      <c r="N205" s="3">
        <v>0</v>
      </c>
      <c r="O205" s="2" t="s">
        <v>34</v>
      </c>
      <c r="P205" s="2" t="s">
        <v>279</v>
      </c>
      <c r="Q205" s="4">
        <v>45279</v>
      </c>
      <c r="R205" s="4">
        <v>45340</v>
      </c>
      <c r="S205" s="3">
        <v>-763</v>
      </c>
      <c r="T205" s="5">
        <v>0</v>
      </c>
      <c r="U205" s="2" t="s">
        <v>20</v>
      </c>
      <c r="V205" s="5">
        <v>0</v>
      </c>
      <c r="W205" s="5">
        <v>0</v>
      </c>
      <c r="X205" s="5">
        <v>0</v>
      </c>
    </row>
    <row r="206" spans="1:24" outlineLevel="3">
      <c r="A206" s="2" t="s">
        <v>270</v>
      </c>
      <c r="B206" s="3">
        <v>444444578</v>
      </c>
      <c r="C206" s="3">
        <v>0</v>
      </c>
      <c r="D206" s="2" t="s">
        <v>271</v>
      </c>
      <c r="E206" s="2">
        <v>5676994</v>
      </c>
      <c r="F206" s="2" t="s">
        <v>272</v>
      </c>
      <c r="G206" s="2" t="s">
        <v>273</v>
      </c>
      <c r="H206" s="2" t="s">
        <v>28</v>
      </c>
      <c r="I206" s="2" t="s">
        <v>29</v>
      </c>
      <c r="J206" s="2" t="s">
        <v>30</v>
      </c>
      <c r="K206" s="2" t="s">
        <v>274</v>
      </c>
      <c r="L206" s="2" t="s">
        <v>275</v>
      </c>
      <c r="M206" s="2" t="s">
        <v>33</v>
      </c>
      <c r="N206" s="3">
        <v>0</v>
      </c>
      <c r="O206" s="2" t="s">
        <v>34</v>
      </c>
      <c r="P206" s="2" t="s">
        <v>280</v>
      </c>
      <c r="Q206" s="4">
        <v>45477</v>
      </c>
      <c r="R206" s="4">
        <v>45538</v>
      </c>
      <c r="S206" s="3">
        <v>-568</v>
      </c>
      <c r="T206" s="5">
        <v>0</v>
      </c>
      <c r="U206" s="2" t="s">
        <v>20</v>
      </c>
      <c r="V206" s="5">
        <v>0</v>
      </c>
      <c r="W206" s="5">
        <v>0</v>
      </c>
      <c r="X206" s="5">
        <v>0</v>
      </c>
    </row>
    <row r="207" spans="1:24" outlineLevel="2">
      <c r="M207" s="14" t="s">
        <v>346</v>
      </c>
      <c r="T207" s="5">
        <f>SUBTOTAL(9,T202:T206)</f>
        <v>0</v>
      </c>
      <c r="V207" s="5">
        <f>SUBTOTAL(9,V202:V206)</f>
        <v>0</v>
      </c>
      <c r="W207" s="5">
        <f>SUBTOTAL(9,W202:W206)</f>
        <v>0</v>
      </c>
    </row>
    <row r="208" spans="1:24" outlineLevel="1">
      <c r="A208" s="14" t="s">
        <v>338</v>
      </c>
      <c r="T208" s="5">
        <f>SUBTOTAL(9,T202:T206)</f>
        <v>0</v>
      </c>
      <c r="V208" s="5">
        <f>SUBTOTAL(9,V202:V206)</f>
        <v>0</v>
      </c>
      <c r="W208" s="5">
        <f>SUBTOTAL(9,W202:W206)</f>
        <v>0</v>
      </c>
    </row>
    <row r="209" spans="1:24" outlineLevel="3">
      <c r="A209" s="2" t="s">
        <v>281</v>
      </c>
      <c r="B209" s="3">
        <v>444444583</v>
      </c>
      <c r="C209" s="3">
        <v>0</v>
      </c>
      <c r="D209" s="2" t="s">
        <v>282</v>
      </c>
      <c r="E209" s="2">
        <v>994049051</v>
      </c>
      <c r="F209" s="2" t="s">
        <v>283</v>
      </c>
      <c r="G209" s="2" t="s">
        <v>273</v>
      </c>
      <c r="H209" s="2" t="s">
        <v>28</v>
      </c>
      <c r="I209" s="2" t="s">
        <v>29</v>
      </c>
      <c r="J209" s="2" t="s">
        <v>30</v>
      </c>
      <c r="K209" s="2" t="s">
        <v>274</v>
      </c>
      <c r="L209" s="2" t="s">
        <v>275</v>
      </c>
      <c r="M209" s="2" t="s">
        <v>33</v>
      </c>
      <c r="N209" s="3">
        <v>0</v>
      </c>
      <c r="O209" s="2" t="s">
        <v>34</v>
      </c>
      <c r="P209" s="2" t="s">
        <v>284</v>
      </c>
      <c r="Q209" s="4">
        <v>45009</v>
      </c>
      <c r="R209" s="4">
        <v>45069</v>
      </c>
      <c r="S209" s="3">
        <v>-1028</v>
      </c>
      <c r="T209" s="5">
        <v>0</v>
      </c>
      <c r="U209" s="2" t="s">
        <v>20</v>
      </c>
      <c r="V209" s="5">
        <v>0</v>
      </c>
      <c r="W209" s="5">
        <v>0</v>
      </c>
      <c r="X209" s="5">
        <v>0</v>
      </c>
    </row>
    <row r="210" spans="1:24" outlineLevel="3">
      <c r="A210" s="2" t="s">
        <v>281</v>
      </c>
      <c r="B210" s="3">
        <v>444444583</v>
      </c>
      <c r="C210" s="3">
        <v>0</v>
      </c>
      <c r="D210" s="2" t="s">
        <v>282</v>
      </c>
      <c r="E210" s="2">
        <v>994049051</v>
      </c>
      <c r="F210" s="2" t="s">
        <v>283</v>
      </c>
      <c r="G210" s="2" t="s">
        <v>273</v>
      </c>
      <c r="H210" s="2" t="s">
        <v>28</v>
      </c>
      <c r="I210" s="2" t="s">
        <v>29</v>
      </c>
      <c r="J210" s="2" t="s">
        <v>30</v>
      </c>
      <c r="K210" s="2" t="s">
        <v>274</v>
      </c>
      <c r="L210" s="2" t="s">
        <v>275</v>
      </c>
      <c r="M210" s="2" t="s">
        <v>33</v>
      </c>
      <c r="N210" s="3">
        <v>0</v>
      </c>
      <c r="O210" s="2" t="s">
        <v>34</v>
      </c>
      <c r="P210" s="2" t="s">
        <v>285</v>
      </c>
      <c r="Q210" s="4">
        <v>45435</v>
      </c>
      <c r="R210" s="4">
        <v>45495</v>
      </c>
      <c r="S210" s="3">
        <v>-609</v>
      </c>
      <c r="T210" s="5">
        <v>0</v>
      </c>
      <c r="U210" s="2" t="s">
        <v>20</v>
      </c>
      <c r="V210" s="5">
        <v>0</v>
      </c>
      <c r="W210" s="5">
        <v>0</v>
      </c>
      <c r="X210" s="5">
        <v>0</v>
      </c>
    </row>
    <row r="211" spans="1:24" outlineLevel="3">
      <c r="A211" s="2" t="s">
        <v>281</v>
      </c>
      <c r="B211" s="3">
        <v>444444583</v>
      </c>
      <c r="C211" s="3">
        <v>0</v>
      </c>
      <c r="D211" s="2" t="s">
        <v>282</v>
      </c>
      <c r="E211" s="2">
        <v>994049051</v>
      </c>
      <c r="F211" s="2" t="s">
        <v>283</v>
      </c>
      <c r="G211" s="2" t="s">
        <v>273</v>
      </c>
      <c r="H211" s="2" t="s">
        <v>28</v>
      </c>
      <c r="I211" s="2" t="s">
        <v>29</v>
      </c>
      <c r="J211" s="2" t="s">
        <v>30</v>
      </c>
      <c r="K211" s="2" t="s">
        <v>274</v>
      </c>
      <c r="L211" s="2" t="s">
        <v>275</v>
      </c>
      <c r="M211" s="2" t="s">
        <v>33</v>
      </c>
      <c r="N211" s="3">
        <v>0</v>
      </c>
      <c r="O211" s="2" t="s">
        <v>34</v>
      </c>
      <c r="P211" s="2" t="s">
        <v>286</v>
      </c>
      <c r="Q211" s="4">
        <v>45791</v>
      </c>
      <c r="R211" s="4">
        <v>45851</v>
      </c>
      <c r="S211" s="3">
        <v>-258</v>
      </c>
      <c r="T211" s="5">
        <v>0</v>
      </c>
      <c r="U211" s="2" t="s">
        <v>20</v>
      </c>
      <c r="V211" s="5">
        <v>0</v>
      </c>
      <c r="W211" s="5">
        <v>0</v>
      </c>
      <c r="X211" s="5">
        <v>0</v>
      </c>
    </row>
    <row r="212" spans="1:24" outlineLevel="2">
      <c r="M212" s="14" t="s">
        <v>346</v>
      </c>
      <c r="T212" s="5">
        <f>SUBTOTAL(9,T209:T211)</f>
        <v>0</v>
      </c>
      <c r="V212" s="5">
        <f>SUBTOTAL(9,V209:V211)</f>
        <v>0</v>
      </c>
      <c r="W212" s="5">
        <f>SUBTOTAL(9,W209:W211)</f>
        <v>0</v>
      </c>
    </row>
    <row r="213" spans="1:24" outlineLevel="1">
      <c r="A213" s="14" t="s">
        <v>339</v>
      </c>
      <c r="T213" s="5">
        <f>SUBTOTAL(9,T209:T211)</f>
        <v>0</v>
      </c>
      <c r="V213" s="5">
        <f>SUBTOTAL(9,V209:V211)</f>
        <v>0</v>
      </c>
      <c r="W213" s="5">
        <f>SUBTOTAL(9,W209:W211)</f>
        <v>0</v>
      </c>
    </row>
    <row r="214" spans="1:24" outlineLevel="3">
      <c r="A214" s="2" t="s">
        <v>287</v>
      </c>
      <c r="B214" s="3">
        <v>444444595</v>
      </c>
      <c r="C214" s="3">
        <v>0</v>
      </c>
      <c r="D214" s="2" t="s">
        <v>288</v>
      </c>
      <c r="E214" s="2">
        <v>17154000</v>
      </c>
      <c r="F214" s="2" t="s">
        <v>289</v>
      </c>
      <c r="G214" s="2" t="s">
        <v>273</v>
      </c>
      <c r="H214" s="2" t="s">
        <v>28</v>
      </c>
      <c r="I214" s="2" t="s">
        <v>29</v>
      </c>
      <c r="J214" s="2" t="s">
        <v>30</v>
      </c>
      <c r="K214" s="2" t="s">
        <v>274</v>
      </c>
      <c r="L214" s="2" t="s">
        <v>275</v>
      </c>
      <c r="M214" s="2" t="s">
        <v>33</v>
      </c>
      <c r="N214" s="3">
        <v>0</v>
      </c>
      <c r="O214" s="2" t="s">
        <v>34</v>
      </c>
      <c r="P214" s="2" t="s">
        <v>290</v>
      </c>
      <c r="Q214" s="4">
        <v>45504</v>
      </c>
      <c r="R214" s="4">
        <v>45565</v>
      </c>
      <c r="S214" s="3">
        <v>-541</v>
      </c>
      <c r="T214" s="5">
        <v>0</v>
      </c>
      <c r="U214" s="2" t="s">
        <v>20</v>
      </c>
      <c r="V214" s="5">
        <v>0</v>
      </c>
      <c r="W214" s="5">
        <v>0</v>
      </c>
      <c r="X214" s="5">
        <v>0</v>
      </c>
    </row>
    <row r="215" spans="1:24" outlineLevel="3">
      <c r="A215" s="2" t="s">
        <v>287</v>
      </c>
      <c r="B215" s="3">
        <v>444444595</v>
      </c>
      <c r="C215" s="3">
        <v>0</v>
      </c>
      <c r="D215" s="2" t="s">
        <v>288</v>
      </c>
      <c r="E215" s="2">
        <v>17154000</v>
      </c>
      <c r="F215" s="2" t="s">
        <v>289</v>
      </c>
      <c r="G215" s="2" t="s">
        <v>273</v>
      </c>
      <c r="H215" s="2" t="s">
        <v>28</v>
      </c>
      <c r="I215" s="2" t="s">
        <v>29</v>
      </c>
      <c r="J215" s="2" t="s">
        <v>30</v>
      </c>
      <c r="K215" s="2" t="s">
        <v>274</v>
      </c>
      <c r="L215" s="2" t="s">
        <v>275</v>
      </c>
      <c r="M215" s="2" t="s">
        <v>33</v>
      </c>
      <c r="N215" s="3">
        <v>0</v>
      </c>
      <c r="O215" s="2" t="s">
        <v>34</v>
      </c>
      <c r="P215" s="2" t="s">
        <v>291</v>
      </c>
      <c r="Q215" s="4">
        <v>45707</v>
      </c>
      <c r="R215" s="4">
        <v>45766</v>
      </c>
      <c r="S215" s="3">
        <v>-342</v>
      </c>
      <c r="T215" s="5">
        <v>0</v>
      </c>
      <c r="U215" s="2" t="s">
        <v>20</v>
      </c>
      <c r="V215" s="5">
        <v>0</v>
      </c>
      <c r="W215" s="5">
        <v>0</v>
      </c>
      <c r="X215" s="5">
        <v>0</v>
      </c>
    </row>
    <row r="216" spans="1:24" outlineLevel="3">
      <c r="A216" s="2" t="s">
        <v>287</v>
      </c>
      <c r="B216" s="3">
        <v>444444595</v>
      </c>
      <c r="C216" s="3">
        <v>0</v>
      </c>
      <c r="D216" s="2" t="s">
        <v>288</v>
      </c>
      <c r="E216" s="2">
        <v>17154000</v>
      </c>
      <c r="F216" s="2" t="s">
        <v>289</v>
      </c>
      <c r="G216" s="2" t="s">
        <v>273</v>
      </c>
      <c r="H216" s="2" t="s">
        <v>28</v>
      </c>
      <c r="I216" s="2" t="s">
        <v>29</v>
      </c>
      <c r="J216" s="2" t="s">
        <v>30</v>
      </c>
      <c r="K216" s="2" t="s">
        <v>274</v>
      </c>
      <c r="L216" s="2" t="s">
        <v>275</v>
      </c>
      <c r="M216" s="2" t="s">
        <v>33</v>
      </c>
      <c r="N216" s="3">
        <v>0</v>
      </c>
      <c r="O216" s="2" t="s">
        <v>34</v>
      </c>
      <c r="P216" s="2" t="s">
        <v>292</v>
      </c>
      <c r="Q216" s="4">
        <v>45707</v>
      </c>
      <c r="R216" s="4">
        <v>45766</v>
      </c>
      <c r="S216" s="3">
        <v>-342</v>
      </c>
      <c r="T216" s="5">
        <v>0</v>
      </c>
      <c r="U216" s="2" t="s">
        <v>20</v>
      </c>
      <c r="V216" s="5">
        <v>0</v>
      </c>
      <c r="W216" s="5">
        <v>0</v>
      </c>
      <c r="X216" s="5">
        <v>0</v>
      </c>
    </row>
    <row r="217" spans="1:24" outlineLevel="3">
      <c r="A217" s="2" t="s">
        <v>287</v>
      </c>
      <c r="B217" s="3">
        <v>444444595</v>
      </c>
      <c r="C217" s="3">
        <v>0</v>
      </c>
      <c r="D217" s="2" t="s">
        <v>288</v>
      </c>
      <c r="E217" s="2">
        <v>17154000</v>
      </c>
      <c r="F217" s="2" t="s">
        <v>289</v>
      </c>
      <c r="G217" s="2" t="s">
        <v>273</v>
      </c>
      <c r="H217" s="2" t="s">
        <v>28</v>
      </c>
      <c r="I217" s="2" t="s">
        <v>29</v>
      </c>
      <c r="J217" s="2" t="s">
        <v>30</v>
      </c>
      <c r="K217" s="2" t="s">
        <v>274</v>
      </c>
      <c r="L217" s="2" t="s">
        <v>275</v>
      </c>
      <c r="M217" s="2" t="s">
        <v>33</v>
      </c>
      <c r="N217" s="3">
        <v>0</v>
      </c>
      <c r="O217" s="2" t="s">
        <v>34</v>
      </c>
      <c r="P217" s="2" t="s">
        <v>293</v>
      </c>
      <c r="Q217" s="4">
        <v>45797</v>
      </c>
      <c r="R217" s="4">
        <v>45858</v>
      </c>
      <c r="S217" s="3">
        <v>-251</v>
      </c>
      <c r="T217" s="5">
        <v>0</v>
      </c>
      <c r="U217" s="2" t="s">
        <v>20</v>
      </c>
      <c r="V217" s="5">
        <v>0</v>
      </c>
      <c r="W217" s="5">
        <v>0</v>
      </c>
      <c r="X217" s="5">
        <v>0</v>
      </c>
    </row>
    <row r="218" spans="1:24" outlineLevel="2">
      <c r="M218" s="14" t="s">
        <v>346</v>
      </c>
      <c r="T218" s="5">
        <f>SUBTOTAL(9,T214:T217)</f>
        <v>0</v>
      </c>
      <c r="V218" s="5">
        <f>SUBTOTAL(9,V214:V217)</f>
        <v>0</v>
      </c>
      <c r="W218" s="5">
        <f>SUBTOTAL(9,W214:W217)</f>
        <v>0</v>
      </c>
    </row>
    <row r="219" spans="1:24" outlineLevel="1">
      <c r="A219" s="14" t="s">
        <v>340</v>
      </c>
      <c r="T219" s="5">
        <f>SUBTOTAL(9,T214:T217)</f>
        <v>0</v>
      </c>
      <c r="V219" s="5">
        <f>SUBTOTAL(9,V214:V217)</f>
        <v>0</v>
      </c>
      <c r="W219" s="5">
        <f>SUBTOTAL(9,W214:W217)</f>
        <v>0</v>
      </c>
    </row>
    <row r="220" spans="1:24" outlineLevel="3">
      <c r="A220" s="2" t="s">
        <v>294</v>
      </c>
      <c r="B220" s="3">
        <v>444444598</v>
      </c>
      <c r="C220" s="3">
        <v>0</v>
      </c>
      <c r="D220" s="2" t="s">
        <v>295</v>
      </c>
      <c r="E220" s="2">
        <v>22244953</v>
      </c>
      <c r="F220" s="2" t="s">
        <v>296</v>
      </c>
      <c r="G220" s="2" t="s">
        <v>171</v>
      </c>
      <c r="H220" s="2" t="s">
        <v>28</v>
      </c>
      <c r="I220" s="2" t="s">
        <v>29</v>
      </c>
      <c r="J220" s="2" t="s">
        <v>30</v>
      </c>
      <c r="K220" s="2" t="s">
        <v>172</v>
      </c>
      <c r="L220" s="2" t="s">
        <v>173</v>
      </c>
      <c r="M220" s="2" t="s">
        <v>33</v>
      </c>
      <c r="N220" s="3">
        <v>0</v>
      </c>
      <c r="O220" s="2" t="s">
        <v>34</v>
      </c>
      <c r="P220" s="2" t="s">
        <v>297</v>
      </c>
      <c r="Q220" s="4">
        <v>45582</v>
      </c>
      <c r="R220" s="4">
        <v>45628</v>
      </c>
      <c r="S220" s="3">
        <v>-479</v>
      </c>
      <c r="T220" s="5">
        <v>0</v>
      </c>
      <c r="U220" s="2" t="s">
        <v>20</v>
      </c>
      <c r="V220" s="5">
        <v>0</v>
      </c>
      <c r="W220" s="5">
        <v>0</v>
      </c>
      <c r="X220" s="5">
        <v>0</v>
      </c>
    </row>
    <row r="221" spans="1:24" outlineLevel="2">
      <c r="M221" s="14" t="s">
        <v>346</v>
      </c>
      <c r="T221" s="5">
        <f>SUBTOTAL(9,T220:T220)</f>
        <v>0</v>
      </c>
      <c r="V221" s="5">
        <f>SUBTOTAL(9,V220:V220)</f>
        <v>0</v>
      </c>
      <c r="W221" s="5">
        <f>SUBTOTAL(9,W220:W220)</f>
        <v>0</v>
      </c>
    </row>
    <row r="222" spans="1:24" outlineLevel="1">
      <c r="A222" s="14" t="s">
        <v>341</v>
      </c>
      <c r="T222" s="5">
        <f>SUBTOTAL(9,T220:T220)</f>
        <v>0</v>
      </c>
      <c r="V222" s="5">
        <f>SUBTOTAL(9,V220:V220)</f>
        <v>0</v>
      </c>
      <c r="W222" s="5">
        <f>SUBTOTAL(9,W220:W220)</f>
        <v>0</v>
      </c>
    </row>
    <row r="223" spans="1:24" outlineLevel="3">
      <c r="A223" s="2" t="s">
        <v>298</v>
      </c>
      <c r="B223" s="3">
        <v>444444599</v>
      </c>
      <c r="C223" s="3">
        <v>0</v>
      </c>
      <c r="D223" s="2" t="s">
        <v>299</v>
      </c>
      <c r="E223" s="2">
        <v>2122422193</v>
      </c>
      <c r="F223" s="2" t="s">
        <v>300</v>
      </c>
      <c r="G223" s="2" t="s">
        <v>301</v>
      </c>
      <c r="H223" s="2" t="s">
        <v>28</v>
      </c>
      <c r="I223" s="2" t="s">
        <v>29</v>
      </c>
      <c r="J223" s="2" t="s">
        <v>30</v>
      </c>
      <c r="K223" s="2" t="s">
        <v>131</v>
      </c>
      <c r="L223" s="2" t="s">
        <v>132</v>
      </c>
      <c r="M223" s="2" t="s">
        <v>33</v>
      </c>
      <c r="N223" s="3">
        <v>0</v>
      </c>
      <c r="O223" s="2" t="s">
        <v>34</v>
      </c>
      <c r="P223" s="2" t="s">
        <v>302</v>
      </c>
      <c r="Q223" s="4">
        <v>45716</v>
      </c>
      <c r="R223" s="4">
        <v>45805</v>
      </c>
      <c r="S223" s="3">
        <v>-303</v>
      </c>
      <c r="T223" s="5">
        <v>0</v>
      </c>
      <c r="U223" s="2" t="s">
        <v>20</v>
      </c>
      <c r="V223" s="5">
        <v>0</v>
      </c>
      <c r="W223" s="5">
        <v>0</v>
      </c>
      <c r="X223" s="5">
        <v>0</v>
      </c>
    </row>
    <row r="224" spans="1:24" outlineLevel="3">
      <c r="A224" s="2" t="s">
        <v>298</v>
      </c>
      <c r="B224" s="3">
        <v>444444599</v>
      </c>
      <c r="C224" s="3">
        <v>0</v>
      </c>
      <c r="D224" s="2" t="s">
        <v>299</v>
      </c>
      <c r="E224" s="2">
        <v>2122422193</v>
      </c>
      <c r="F224" s="2" t="s">
        <v>300</v>
      </c>
      <c r="G224" s="2" t="s">
        <v>301</v>
      </c>
      <c r="H224" s="2" t="s">
        <v>28</v>
      </c>
      <c r="I224" s="2" t="s">
        <v>29</v>
      </c>
      <c r="J224" s="2" t="s">
        <v>30</v>
      </c>
      <c r="K224" s="2" t="s">
        <v>131</v>
      </c>
      <c r="L224" s="2" t="s">
        <v>132</v>
      </c>
      <c r="M224" s="2" t="s">
        <v>33</v>
      </c>
      <c r="N224" s="3">
        <v>0</v>
      </c>
      <c r="O224" s="2" t="s">
        <v>34</v>
      </c>
      <c r="P224" s="2" t="s">
        <v>303</v>
      </c>
      <c r="Q224" s="4">
        <v>45931</v>
      </c>
      <c r="R224" s="4">
        <v>46023</v>
      </c>
      <c r="S224" s="3">
        <v>-90</v>
      </c>
      <c r="T224" s="5">
        <v>0</v>
      </c>
      <c r="U224" s="2" t="s">
        <v>20</v>
      </c>
      <c r="V224" s="5">
        <v>0</v>
      </c>
      <c r="W224" s="5">
        <v>0</v>
      </c>
      <c r="X224" s="5">
        <v>0</v>
      </c>
    </row>
    <row r="225" spans="1:24" outlineLevel="3">
      <c r="A225" s="2" t="s">
        <v>298</v>
      </c>
      <c r="B225" s="3">
        <v>444444599</v>
      </c>
      <c r="C225" s="3">
        <v>0</v>
      </c>
      <c r="D225" s="2" t="s">
        <v>299</v>
      </c>
      <c r="E225" s="2">
        <v>2122422193</v>
      </c>
      <c r="F225" s="2" t="s">
        <v>300</v>
      </c>
      <c r="G225" s="2" t="s">
        <v>301</v>
      </c>
      <c r="H225" s="2" t="s">
        <v>28</v>
      </c>
      <c r="I225" s="2" t="s">
        <v>29</v>
      </c>
      <c r="J225" s="2" t="s">
        <v>58</v>
      </c>
      <c r="K225" s="2" t="s">
        <v>131</v>
      </c>
      <c r="L225" s="2" t="s">
        <v>132</v>
      </c>
      <c r="M225" s="2" t="s">
        <v>33</v>
      </c>
      <c r="N225" s="3">
        <v>0</v>
      </c>
      <c r="O225" s="2" t="s">
        <v>34</v>
      </c>
      <c r="P225" s="2" t="s">
        <v>304</v>
      </c>
      <c r="Q225" s="4">
        <v>45954</v>
      </c>
      <c r="R225" s="4">
        <v>46046</v>
      </c>
      <c r="S225" s="3">
        <v>-67</v>
      </c>
      <c r="T225" s="5">
        <v>0</v>
      </c>
      <c r="U225" s="2" t="s">
        <v>20</v>
      </c>
      <c r="V225" s="5">
        <v>0</v>
      </c>
      <c r="W225" s="5">
        <v>0</v>
      </c>
      <c r="X225" s="5">
        <v>0</v>
      </c>
    </row>
    <row r="226" spans="1:24" outlineLevel="3">
      <c r="A226" s="2" t="s">
        <v>298</v>
      </c>
      <c r="B226" s="3">
        <v>444444599</v>
      </c>
      <c r="C226" s="3">
        <v>0</v>
      </c>
      <c r="D226" s="2" t="s">
        <v>299</v>
      </c>
      <c r="E226" s="2">
        <v>2122422193</v>
      </c>
      <c r="F226" s="2" t="s">
        <v>300</v>
      </c>
      <c r="G226" s="2" t="s">
        <v>301</v>
      </c>
      <c r="H226" s="2" t="s">
        <v>28</v>
      </c>
      <c r="I226" s="2" t="s">
        <v>29</v>
      </c>
      <c r="J226" s="2" t="s">
        <v>58</v>
      </c>
      <c r="K226" s="2" t="s">
        <v>131</v>
      </c>
      <c r="L226" s="2" t="s">
        <v>132</v>
      </c>
      <c r="M226" s="2" t="s">
        <v>33</v>
      </c>
      <c r="N226" s="3">
        <v>0</v>
      </c>
      <c r="O226" s="2" t="s">
        <v>34</v>
      </c>
      <c r="P226" s="2" t="s">
        <v>305</v>
      </c>
      <c r="Q226" s="4">
        <v>45979</v>
      </c>
      <c r="R226" s="4">
        <v>46071</v>
      </c>
      <c r="S226" s="3">
        <v>-43</v>
      </c>
      <c r="T226" s="5">
        <v>0</v>
      </c>
      <c r="U226" s="2" t="s">
        <v>20</v>
      </c>
      <c r="V226" s="5">
        <v>0</v>
      </c>
      <c r="W226" s="5">
        <v>0</v>
      </c>
      <c r="X226" s="5">
        <v>0</v>
      </c>
    </row>
    <row r="227" spans="1:24" outlineLevel="3">
      <c r="A227" s="2" t="s">
        <v>298</v>
      </c>
      <c r="B227" s="3">
        <v>444444599</v>
      </c>
      <c r="C227" s="3">
        <v>0</v>
      </c>
      <c r="D227" s="2" t="s">
        <v>299</v>
      </c>
      <c r="E227" s="2">
        <v>2122422193</v>
      </c>
      <c r="F227" s="2" t="s">
        <v>300</v>
      </c>
      <c r="G227" s="2" t="s">
        <v>301</v>
      </c>
      <c r="H227" s="2" t="s">
        <v>28</v>
      </c>
      <c r="I227" s="2" t="s">
        <v>29</v>
      </c>
      <c r="J227" s="2" t="s">
        <v>58</v>
      </c>
      <c r="K227" s="2" t="s">
        <v>131</v>
      </c>
      <c r="L227" s="2" t="s">
        <v>132</v>
      </c>
      <c r="M227" s="2" t="s">
        <v>33</v>
      </c>
      <c r="N227" s="3">
        <v>0</v>
      </c>
      <c r="O227" s="2" t="s">
        <v>34</v>
      </c>
      <c r="P227" s="2" t="s">
        <v>306</v>
      </c>
      <c r="Q227" s="4">
        <v>46090</v>
      </c>
      <c r="R227" s="4">
        <v>46182</v>
      </c>
      <c r="S227" s="3">
        <v>68</v>
      </c>
      <c r="T227" s="5">
        <v>0</v>
      </c>
      <c r="U227" s="2" t="s">
        <v>126</v>
      </c>
      <c r="V227" s="5">
        <v>72837363.620000005</v>
      </c>
      <c r="W227" s="5">
        <v>0</v>
      </c>
      <c r="X227" s="5">
        <v>0</v>
      </c>
    </row>
    <row r="228" spans="1:24" outlineLevel="2">
      <c r="M228" s="14" t="s">
        <v>346</v>
      </c>
      <c r="T228" s="5">
        <f>SUBTOTAL(9,T223:T227)</f>
        <v>0</v>
      </c>
      <c r="V228" s="5">
        <f>SUBTOTAL(9,V223:V227)</f>
        <v>72837363.620000005</v>
      </c>
      <c r="W228" s="5">
        <f>SUBTOTAL(9,W223:W227)</f>
        <v>0</v>
      </c>
    </row>
    <row r="229" spans="1:24" outlineLevel="1">
      <c r="A229" s="14" t="s">
        <v>342</v>
      </c>
      <c r="T229" s="5">
        <f>SUBTOTAL(9,T223:T227)</f>
        <v>0</v>
      </c>
      <c r="V229" s="5">
        <f>SUBTOTAL(9,V223:V227)</f>
        <v>72837363.620000005</v>
      </c>
      <c r="W229" s="5">
        <f>SUBTOTAL(9,W223:W227)</f>
        <v>0</v>
      </c>
    </row>
    <row r="230" spans="1:24" outlineLevel="3">
      <c r="A230" s="2" t="s">
        <v>307</v>
      </c>
      <c r="B230" s="3">
        <v>444444608</v>
      </c>
      <c r="C230" s="3">
        <v>0</v>
      </c>
      <c r="D230" s="2" t="s">
        <v>308</v>
      </c>
      <c r="E230" s="2">
        <v>4142440892</v>
      </c>
      <c r="F230" s="2" t="s">
        <v>309</v>
      </c>
      <c r="G230" s="2" t="s">
        <v>310</v>
      </c>
      <c r="H230" s="2" t="s">
        <v>28</v>
      </c>
      <c r="I230" s="2" t="s">
        <v>29</v>
      </c>
      <c r="J230" s="2" t="s">
        <v>30</v>
      </c>
      <c r="K230" s="2" t="s">
        <v>172</v>
      </c>
      <c r="L230" s="2" t="s">
        <v>173</v>
      </c>
      <c r="M230" s="2" t="s">
        <v>33</v>
      </c>
      <c r="N230" s="3">
        <v>0</v>
      </c>
      <c r="O230" s="2" t="s">
        <v>34</v>
      </c>
      <c r="P230" s="2" t="s">
        <v>311</v>
      </c>
      <c r="Q230" s="4">
        <v>46006</v>
      </c>
      <c r="R230" s="4">
        <v>46096</v>
      </c>
      <c r="S230" s="3">
        <v>-16</v>
      </c>
      <c r="T230" s="5">
        <v>0</v>
      </c>
      <c r="U230" s="2" t="s">
        <v>20</v>
      </c>
      <c r="V230" s="5">
        <v>0</v>
      </c>
      <c r="W230" s="5">
        <v>0</v>
      </c>
      <c r="X230" s="5">
        <v>0</v>
      </c>
    </row>
    <row r="231" spans="1:24" outlineLevel="3">
      <c r="A231" s="2" t="s">
        <v>307</v>
      </c>
      <c r="B231" s="3">
        <v>444444608</v>
      </c>
      <c r="C231" s="3">
        <v>0</v>
      </c>
      <c r="D231" s="2" t="s">
        <v>308</v>
      </c>
      <c r="E231" s="2">
        <v>4142440892</v>
      </c>
      <c r="F231" s="2" t="s">
        <v>309</v>
      </c>
      <c r="G231" s="2" t="s">
        <v>310</v>
      </c>
      <c r="H231" s="2" t="s">
        <v>28</v>
      </c>
      <c r="I231" s="2" t="s">
        <v>29</v>
      </c>
      <c r="J231" s="2" t="s">
        <v>30</v>
      </c>
      <c r="K231" s="2" t="s">
        <v>172</v>
      </c>
      <c r="L231" s="2" t="s">
        <v>173</v>
      </c>
      <c r="M231" s="2" t="s">
        <v>33</v>
      </c>
      <c r="N231" s="3">
        <v>0</v>
      </c>
      <c r="O231" s="2" t="s">
        <v>34</v>
      </c>
      <c r="P231" s="2" t="s">
        <v>312</v>
      </c>
      <c r="Q231" s="4">
        <v>46006</v>
      </c>
      <c r="R231" s="4">
        <v>46096</v>
      </c>
      <c r="S231" s="3">
        <v>-16</v>
      </c>
      <c r="T231" s="5">
        <v>0</v>
      </c>
      <c r="U231" s="2" t="s">
        <v>20</v>
      </c>
      <c r="V231" s="5">
        <v>0</v>
      </c>
      <c r="W231" s="5">
        <v>0</v>
      </c>
      <c r="X231" s="5">
        <v>0</v>
      </c>
    </row>
    <row r="232" spans="1:24" outlineLevel="3">
      <c r="A232" s="2" t="s">
        <v>307</v>
      </c>
      <c r="B232" s="3">
        <v>444444608</v>
      </c>
      <c r="C232" s="3">
        <v>0</v>
      </c>
      <c r="D232" s="2" t="s">
        <v>308</v>
      </c>
      <c r="E232" s="2">
        <v>4142440892</v>
      </c>
      <c r="F232" s="2" t="s">
        <v>309</v>
      </c>
      <c r="G232" s="2" t="s">
        <v>310</v>
      </c>
      <c r="H232" s="2" t="s">
        <v>28</v>
      </c>
      <c r="I232" s="2" t="s">
        <v>29</v>
      </c>
      <c r="J232" s="2" t="s">
        <v>30</v>
      </c>
      <c r="K232" s="2" t="s">
        <v>172</v>
      </c>
      <c r="L232" s="2" t="s">
        <v>173</v>
      </c>
      <c r="M232" s="2" t="s">
        <v>33</v>
      </c>
      <c r="N232" s="3">
        <v>0</v>
      </c>
      <c r="O232" s="2" t="s">
        <v>34</v>
      </c>
      <c r="P232" s="2" t="s">
        <v>313</v>
      </c>
      <c r="Q232" s="4">
        <v>46006</v>
      </c>
      <c r="R232" s="4">
        <v>46096</v>
      </c>
      <c r="S232" s="3">
        <v>-16</v>
      </c>
      <c r="T232" s="5">
        <v>0</v>
      </c>
      <c r="U232" s="2" t="s">
        <v>20</v>
      </c>
      <c r="V232" s="5">
        <v>0</v>
      </c>
      <c r="W232" s="5">
        <v>0</v>
      </c>
      <c r="X232" s="5">
        <v>0</v>
      </c>
    </row>
    <row r="233" spans="1:24" outlineLevel="2">
      <c r="M233" s="14" t="s">
        <v>346</v>
      </c>
      <c r="T233" s="5">
        <f>SUBTOTAL(9,T230:T232)</f>
        <v>0</v>
      </c>
      <c r="V233" s="5">
        <f>SUBTOTAL(9,V230:V232)</f>
        <v>0</v>
      </c>
      <c r="W233" s="5">
        <f>SUBTOTAL(9,W230:W232)</f>
        <v>0</v>
      </c>
    </row>
    <row r="234" spans="1:24" outlineLevel="1">
      <c r="A234" s="14" t="s">
        <v>343</v>
      </c>
      <c r="T234" s="5">
        <f>SUBTOTAL(9,T230:T232)</f>
        <v>0</v>
      </c>
      <c r="V234" s="5">
        <f>SUBTOTAL(9,V230:V232)</f>
        <v>0</v>
      </c>
      <c r="W234" s="5">
        <f>SUBTOTAL(9,W230:W232)</f>
        <v>0</v>
      </c>
    </row>
    <row r="235" spans="1:24" outlineLevel="3">
      <c r="A235" s="2" t="s">
        <v>314</v>
      </c>
      <c r="B235" s="3">
        <v>444444610</v>
      </c>
      <c r="C235" s="3">
        <v>0</v>
      </c>
      <c r="D235" s="2" t="s">
        <v>315</v>
      </c>
      <c r="E235" s="2">
        <v>46021235</v>
      </c>
      <c r="F235" s="2" t="s">
        <v>316</v>
      </c>
      <c r="G235" s="2" t="s">
        <v>317</v>
      </c>
      <c r="H235" s="2" t="s">
        <v>28</v>
      </c>
      <c r="I235" s="2" t="s">
        <v>29</v>
      </c>
      <c r="J235" s="2" t="s">
        <v>274</v>
      </c>
      <c r="K235" s="2" t="s">
        <v>274</v>
      </c>
      <c r="L235" s="2" t="s">
        <v>275</v>
      </c>
      <c r="M235" s="2" t="s">
        <v>33</v>
      </c>
      <c r="N235" s="3">
        <v>0</v>
      </c>
      <c r="O235" s="2" t="s">
        <v>34</v>
      </c>
      <c r="P235" s="2" t="s">
        <v>318</v>
      </c>
      <c r="Q235" s="4">
        <v>46036</v>
      </c>
      <c r="R235" s="4">
        <v>46071</v>
      </c>
      <c r="S235" s="3">
        <v>-43</v>
      </c>
      <c r="T235" s="5">
        <v>0</v>
      </c>
      <c r="U235" s="2" t="s">
        <v>20</v>
      </c>
      <c r="V235" s="5">
        <v>21448270.199999999</v>
      </c>
      <c r="W235" s="5">
        <v>21448270.199999999</v>
      </c>
      <c r="X235" s="5">
        <v>21448270.199999999</v>
      </c>
    </row>
    <row r="236" spans="1:24" outlineLevel="3">
      <c r="A236" s="2" t="s">
        <v>314</v>
      </c>
      <c r="B236" s="3">
        <v>444444610</v>
      </c>
      <c r="C236" s="3">
        <v>0</v>
      </c>
      <c r="D236" s="2" t="s">
        <v>315</v>
      </c>
      <c r="E236" s="2">
        <v>46021235</v>
      </c>
      <c r="F236" s="2" t="s">
        <v>316</v>
      </c>
      <c r="G236" s="2" t="s">
        <v>317</v>
      </c>
      <c r="H236" s="2" t="s">
        <v>28</v>
      </c>
      <c r="I236" s="2" t="s">
        <v>29</v>
      </c>
      <c r="J236" s="2" t="s">
        <v>319</v>
      </c>
      <c r="K236" s="2" t="s">
        <v>274</v>
      </c>
      <c r="L236" s="2" t="s">
        <v>275</v>
      </c>
      <c r="M236" s="2" t="s">
        <v>33</v>
      </c>
      <c r="N236" s="3">
        <v>0</v>
      </c>
      <c r="O236" s="2" t="s">
        <v>34</v>
      </c>
      <c r="P236" s="2" t="s">
        <v>320</v>
      </c>
      <c r="Q236" s="4">
        <v>46105</v>
      </c>
      <c r="R236" s="4">
        <v>46166</v>
      </c>
      <c r="S236" s="3">
        <v>53</v>
      </c>
      <c r="T236" s="5">
        <v>0</v>
      </c>
      <c r="U236" s="2" t="s">
        <v>126</v>
      </c>
      <c r="V236" s="5">
        <v>11757775.43</v>
      </c>
      <c r="W236" s="5">
        <v>0</v>
      </c>
      <c r="X236" s="5">
        <v>21448270.199999999</v>
      </c>
    </row>
    <row r="237" spans="1:24" outlineLevel="2">
      <c r="M237" s="14" t="s">
        <v>346</v>
      </c>
      <c r="T237" s="5">
        <f>SUBTOTAL(9,T235:T236)</f>
        <v>0</v>
      </c>
      <c r="V237" s="5">
        <f>SUBTOTAL(9,V235:V236)</f>
        <v>33206045.629999999</v>
      </c>
      <c r="W237" s="5">
        <f>SUBTOTAL(9,W235:W236)</f>
        <v>21448270.199999999</v>
      </c>
    </row>
    <row r="238" spans="1:24" outlineLevel="1">
      <c r="A238" s="14" t="s">
        <v>344</v>
      </c>
      <c r="T238" s="5">
        <f>SUBTOTAL(9,T235:T236)</f>
        <v>0</v>
      </c>
      <c r="V238" s="5">
        <f>SUBTOTAL(9,V235:V236)</f>
        <v>33206045.629999999</v>
      </c>
      <c r="W238" s="5">
        <f>SUBTOTAL(9,W235:W236)</f>
        <v>21448270.199999999</v>
      </c>
    </row>
    <row r="239" spans="1:24">
      <c r="A239" s="14" t="s">
        <v>345</v>
      </c>
      <c r="T239" s="5">
        <f>SUBTOTAL(9,T8:T236)</f>
        <v>0</v>
      </c>
      <c r="V239" s="5">
        <f>SUBTOTAL(9,V8:V236)</f>
        <v>578865809.18000007</v>
      </c>
      <c r="W239" s="5">
        <f>SUBTOTAL(9,W8:W236)</f>
        <v>361913881.16000003</v>
      </c>
    </row>
  </sheetData>
  <mergeCells count="3">
    <mergeCell ref="A5:X5"/>
    <mergeCell ref="A2:X2"/>
    <mergeCell ref="A1:W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Director-admon</dc:creator>
  <cp:lastModifiedBy>Director-admon</cp:lastModifiedBy>
  <dcterms:created xsi:type="dcterms:W3CDTF">2026-04-01T14:14:39Z</dcterms:created>
  <dcterms:modified xsi:type="dcterms:W3CDTF">2026-04-01T14:15:16Z</dcterms:modified>
</cp:coreProperties>
</file>