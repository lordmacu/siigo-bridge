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bookViews>
    <workbookView xWindow="0" yWindow="0" windowWidth="28800" windowHeight="1426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119" i="1" l="1"/>
  <c r="L119" i="1"/>
  <c r="N118" i="1"/>
  <c r="L118" i="1"/>
  <c r="N101" i="1"/>
  <c r="L101" i="1"/>
  <c r="N69" i="1"/>
  <c r="L69" i="1"/>
  <c r="N46" i="1"/>
  <c r="L46" i="1"/>
  <c r="N31" i="1"/>
  <c r="L31" i="1"/>
  <c r="N9" i="1"/>
  <c r="L9" i="1"/>
</calcChain>
</file>

<file path=xl/sharedStrings.xml><?xml version="1.0" encoding="utf-8"?>
<sst xmlns="http://schemas.openxmlformats.org/spreadsheetml/2006/main" count="551" uniqueCount="250">
  <si>
    <t xml:space="preserve">VENDEDOR                           </t>
  </si>
  <si>
    <t xml:space="preserve">CODIGO  </t>
  </si>
  <si>
    <t xml:space="preserve">NOMBRE                        </t>
  </si>
  <si>
    <t xml:space="preserve">FEC.REC.  </t>
  </si>
  <si>
    <t>NUMERO DEL RECIBO</t>
  </si>
  <si>
    <t xml:space="preserve">FEC.VTO.  </t>
  </si>
  <si>
    <t xml:space="preserve">NUMERO FACTURA   </t>
  </si>
  <si>
    <t xml:space="preserve">NIT          </t>
  </si>
  <si>
    <t>SUCURSAL</t>
  </si>
  <si>
    <t xml:space="preserve">CLIENTE                                                                                             </t>
  </si>
  <si>
    <t xml:space="preserve">DIAS  </t>
  </si>
  <si>
    <t xml:space="preserve">VALOR CANCELADO  </t>
  </si>
  <si>
    <t xml:space="preserve">%COMIS </t>
  </si>
  <si>
    <t xml:space="preserve">VALOR COMIS.     </t>
  </si>
  <si>
    <t xml:space="preserve">0001 MALAGON CRUZ LEIDY MILENA     </t>
  </si>
  <si>
    <t xml:space="preserve">MALAGON CRUZ LEIDY MILENA     </t>
  </si>
  <si>
    <t>R-001-00000023156</t>
  </si>
  <si>
    <t>F-003-00000017518</t>
  </si>
  <si>
    <t xml:space="preserve">AROMAS DE LA VIDA COLOMBIA S.A.S.                                                                   </t>
  </si>
  <si>
    <t xml:space="preserve">0018 CASTAÑO AGUDELO MONICA JANETH </t>
  </si>
  <si>
    <t xml:space="preserve">CASTAÑO AGUDELO MONICA JANETH </t>
  </si>
  <si>
    <t>R-001-00000023100</t>
  </si>
  <si>
    <t>F-003-00000017146</t>
  </si>
  <si>
    <t xml:space="preserve">FULLAROME SAS                                                                                       </t>
  </si>
  <si>
    <t>R-001-00000023104</t>
  </si>
  <si>
    <t>F-003-00000017159</t>
  </si>
  <si>
    <t>R-001-00000023107</t>
  </si>
  <si>
    <t>F-003-00000017434</t>
  </si>
  <si>
    <t xml:space="preserve">QUIMISENSE SAS                                                                                      </t>
  </si>
  <si>
    <t>R-001-00000023118</t>
  </si>
  <si>
    <t>F-003-00000017449</t>
  </si>
  <si>
    <t>R-001-00000023121</t>
  </si>
  <si>
    <t>R-001-00000023128</t>
  </si>
  <si>
    <t>F-003-00000017448</t>
  </si>
  <si>
    <t>F-003-00000017456</t>
  </si>
  <si>
    <t>R-001-00000023137</t>
  </si>
  <si>
    <t>F-003-00000017184</t>
  </si>
  <si>
    <t>F-003-00000017197</t>
  </si>
  <si>
    <t>R-001-00000023138</t>
  </si>
  <si>
    <t>F-003-00000017378</t>
  </si>
  <si>
    <t>F-003-00000017412</t>
  </si>
  <si>
    <t>R-001-00000023141</t>
  </si>
  <si>
    <t>F-003-00000017214</t>
  </si>
  <si>
    <t>F-003-00000017250</t>
  </si>
  <si>
    <t>R-001-00000023152</t>
  </si>
  <si>
    <t>F-003-00000017219</t>
  </si>
  <si>
    <t>R-001-00000023164</t>
  </si>
  <si>
    <t>F-003-00000017341</t>
  </si>
  <si>
    <t xml:space="preserve">SENTIO SA                                                                                           </t>
  </si>
  <si>
    <t>R-001-00000023169</t>
  </si>
  <si>
    <t>F-003-00000017259</t>
  </si>
  <si>
    <t>F-003-00000017265</t>
  </si>
  <si>
    <t>R-001-00000023175</t>
  </si>
  <si>
    <t>F-003-00000017403</t>
  </si>
  <si>
    <t xml:space="preserve">FRUTALIA DE COLOMBIA SAS                                                                            </t>
  </si>
  <si>
    <t>R-001-00000023180</t>
  </si>
  <si>
    <t>F-003-00000017202</t>
  </si>
  <si>
    <t xml:space="preserve">PERFUMES FACTORY LATINAMERICA SRL                                                                   </t>
  </si>
  <si>
    <t>F-003-00000017203</t>
  </si>
  <si>
    <t>F-003-00000017204</t>
  </si>
  <si>
    <t xml:space="preserve">0022 PARDO OCHOA JULIANA           </t>
  </si>
  <si>
    <t xml:space="preserve">PARDO OCHOA JULIANA           </t>
  </si>
  <si>
    <t>R-001-00000023112</t>
  </si>
  <si>
    <t>F-003-00000017174</t>
  </si>
  <si>
    <t xml:space="preserve">INDUSTRIAS INCA SAS                                                                                 </t>
  </si>
  <si>
    <t>F-003-00000017180</t>
  </si>
  <si>
    <t>R-001-00000023140</t>
  </si>
  <si>
    <t>F-003-00000017302</t>
  </si>
  <si>
    <t xml:space="preserve">DISFRAROMAS ONE SAS                                                                                 </t>
  </si>
  <si>
    <t>R-001-00000023146</t>
  </si>
  <si>
    <t>F-003-00000017277</t>
  </si>
  <si>
    <t xml:space="preserve">PERFUMES Y ESENCIAS FRAICHE SAS                                                                     </t>
  </si>
  <si>
    <t>F-003-00000017299</t>
  </si>
  <si>
    <t>R-001-00000023147</t>
  </si>
  <si>
    <t>F-003-00000017342</t>
  </si>
  <si>
    <t xml:space="preserve">LA VERANERA COLOMBIA SAS                                                                            </t>
  </si>
  <si>
    <t>R-001-00000023157</t>
  </si>
  <si>
    <t>F-003-00000017251</t>
  </si>
  <si>
    <t xml:space="preserve">NEROLI S.A.S.                                                                                       </t>
  </si>
  <si>
    <t>R-001-00000023161</t>
  </si>
  <si>
    <t>F-003-00000017504</t>
  </si>
  <si>
    <t xml:space="preserve">LABORATORIOS DOMECO SAS                                                                             </t>
  </si>
  <si>
    <t>R-001-00000023168</t>
  </si>
  <si>
    <t>F-003-00000017332</t>
  </si>
  <si>
    <t>R-001-00000023173</t>
  </si>
  <si>
    <t>F-003-00000017279</t>
  </si>
  <si>
    <t xml:space="preserve">BOUQUET AROMAS Y FRAGANCIAS S.A.S.                                                                  </t>
  </si>
  <si>
    <t>F-003-00000017288</t>
  </si>
  <si>
    <t>R-001-00000023174</t>
  </si>
  <si>
    <t>F-003-00000017268</t>
  </si>
  <si>
    <t xml:space="preserve">EMPRESA DE COSMETICOS Y SERVICIOS SA                                                                </t>
  </si>
  <si>
    <t>R-001-00000023178</t>
  </si>
  <si>
    <t>F-003-00000017254</t>
  </si>
  <si>
    <t>F-003-00000017258</t>
  </si>
  <si>
    <t xml:space="preserve">0024 CUETER NAVARRO MARIA CLAUDIA  </t>
  </si>
  <si>
    <t xml:space="preserve">CUETER NAVARRO MARIA CLAUDIA  </t>
  </si>
  <si>
    <t>R-001-00000023102</t>
  </si>
  <si>
    <t>F-003-00000017142</t>
  </si>
  <si>
    <t xml:space="preserve">COMERCIALIZAMOS CE SAS                                                                              </t>
  </si>
  <si>
    <t>R-001-00000023103</t>
  </si>
  <si>
    <t>F-003-00000017367</t>
  </si>
  <si>
    <t xml:space="preserve">BUITRAGO BUITRAGO CARLOS                                                                            </t>
  </si>
  <si>
    <t>R-001-00000023105</t>
  </si>
  <si>
    <t>F-003-00000017255</t>
  </si>
  <si>
    <t xml:space="preserve">FAMILIA DEL PACIFICO SAS                                                                            </t>
  </si>
  <si>
    <t>R-001-00000023113</t>
  </si>
  <si>
    <t>F-003-00000017208</t>
  </si>
  <si>
    <t xml:space="preserve">VIRUTEX ILKO COLOMBIA SAS                                                                           </t>
  </si>
  <si>
    <t>R-001-00000023119</t>
  </si>
  <si>
    <t>F-003-00000017260</t>
  </si>
  <si>
    <t xml:space="preserve">INDUSTRIAS PATOJITO SAS                                                                             </t>
  </si>
  <si>
    <t>R-001-00000023120</t>
  </si>
  <si>
    <t>F-003-00000017339</t>
  </si>
  <si>
    <t xml:space="preserve">SOL FRAGANCE SAS                                                                                    </t>
  </si>
  <si>
    <t>R-001-00000023125</t>
  </si>
  <si>
    <t>F-003-00000017404</t>
  </si>
  <si>
    <t xml:space="preserve">FULLER PINTO SA                                                                                     </t>
  </si>
  <si>
    <t>R-001-00000023129</t>
  </si>
  <si>
    <t>F-003-00000017344</t>
  </si>
  <si>
    <t xml:space="preserve">WALABI SAS                                                                                          </t>
  </si>
  <si>
    <t>R-001-00000023130</t>
  </si>
  <si>
    <t>F-003-00000017307</t>
  </si>
  <si>
    <t>F-003-00000017308</t>
  </si>
  <si>
    <t>R-001-00000023131</t>
  </si>
  <si>
    <t>F-003-00000017317</t>
  </si>
  <si>
    <t>R-001-00000023133</t>
  </si>
  <si>
    <t>F-003-00000017489</t>
  </si>
  <si>
    <t xml:space="preserve">BRAND &amp; SOLUTIONS SAS                                                                               </t>
  </si>
  <si>
    <t>R-001-00000023135</t>
  </si>
  <si>
    <t>F-003-00000017323</t>
  </si>
  <si>
    <t xml:space="preserve">LABORATORIOS BUSSIE S.A.                                                                            </t>
  </si>
  <si>
    <t>R-001-00000023142</t>
  </si>
  <si>
    <t>F-003-00000017253</t>
  </si>
  <si>
    <t xml:space="preserve">TROPICAL DE COLOMBIA SAS                                                                            </t>
  </si>
  <si>
    <t>R-001-00000023162</t>
  </si>
  <si>
    <t>F-003-00000017458</t>
  </si>
  <si>
    <t>F-003-00000017459</t>
  </si>
  <si>
    <t>R-001-00000023163</t>
  </si>
  <si>
    <t>F-003-00000017360</t>
  </si>
  <si>
    <t>R-001-00000023166</t>
  </si>
  <si>
    <t>F-003-00000017369</t>
  </si>
  <si>
    <t>R-001-00000023170</t>
  </si>
  <si>
    <t>F-003-00000017326</t>
  </si>
  <si>
    <t xml:space="preserve">CERERIAS ESPAÑOLAS EL FARO SAS                                                                      </t>
  </si>
  <si>
    <t>R-001-00000023171</t>
  </si>
  <si>
    <t>F-003-00000017257</t>
  </si>
  <si>
    <t>R-001-00000023172</t>
  </si>
  <si>
    <t>F-003-00000017291</t>
  </si>
  <si>
    <t>R-001-00000023182</t>
  </si>
  <si>
    <t>F-003-00000017437</t>
  </si>
  <si>
    <t xml:space="preserve">CONSTELACION INDUSTRIAL DEL ASEO S.A.S                                                              </t>
  </si>
  <si>
    <t>0025 ORTEGA GUTIERREZ MARIA JULIANA</t>
  </si>
  <si>
    <t>ORTEGA GUTIERREZ MARIA JULIANA</t>
  </si>
  <si>
    <t>R-001-00000023101</t>
  </si>
  <si>
    <t>F-003-00000017320</t>
  </si>
  <si>
    <t xml:space="preserve">QUIMICOS Y SABORES QYS SAS                                                                          </t>
  </si>
  <si>
    <t>F-003-00000017328</t>
  </si>
  <si>
    <t>R-001-00000023106</t>
  </si>
  <si>
    <t>F-003-00000017216</t>
  </si>
  <si>
    <t xml:space="preserve">FAST MODA SAS                                                                                       </t>
  </si>
  <si>
    <t>R-001-00000023108</t>
  </si>
  <si>
    <t>F-003-00000017385</t>
  </si>
  <si>
    <t xml:space="preserve">COMERCIALIZADORA INTERNACIONAL CARBONES ANDINOS DE AMERICA SOCIEDAD POR ACCIONES SIMPLIFICADA       </t>
  </si>
  <si>
    <t>F-003-00000017418</t>
  </si>
  <si>
    <t>R-001-00000023109</t>
  </si>
  <si>
    <t>R-001-00000023110</t>
  </si>
  <si>
    <t>R-001-00000023111</t>
  </si>
  <si>
    <t>F-003-00000017284</t>
  </si>
  <si>
    <t xml:space="preserve">QUIMICOLOR SAS                                                                                      </t>
  </si>
  <si>
    <t>R-001-00000023114</t>
  </si>
  <si>
    <t>R-001-00000023115</t>
  </si>
  <si>
    <t>F-003-00000017084</t>
  </si>
  <si>
    <t xml:space="preserve">CARIBBEAN SUNRISE LABORATORIOS M&amp;F CHEMICAL S SAS                                                   </t>
  </si>
  <si>
    <t>F-003-00000017115</t>
  </si>
  <si>
    <t>R-001-00000023116</t>
  </si>
  <si>
    <t>F-003-00000017530</t>
  </si>
  <si>
    <t>R-001-00000023126</t>
  </si>
  <si>
    <t>F-003-00000017467</t>
  </si>
  <si>
    <t xml:space="preserve">AMSA QUIMICOS SAS                                                                                   </t>
  </si>
  <si>
    <t>R-001-00000023127</t>
  </si>
  <si>
    <t>F-003-00000017357</t>
  </si>
  <si>
    <t>R-001-00000023134</t>
  </si>
  <si>
    <t>F-003-00000017244</t>
  </si>
  <si>
    <t xml:space="preserve">MULTINSA S.A.S.                                                                                     </t>
  </si>
  <si>
    <t>R-001-00000023136</t>
  </si>
  <si>
    <t>F-003-00000017223</t>
  </si>
  <si>
    <t xml:space="preserve">SCALPI COSMETICA SA                                                                                 </t>
  </si>
  <si>
    <t>R-001-00000023151</t>
  </si>
  <si>
    <t>F-003-00000017185</t>
  </si>
  <si>
    <t xml:space="preserve">MAXIM SURAMERICA SAS                                                                                </t>
  </si>
  <si>
    <t>R-001-00000023153</t>
  </si>
  <si>
    <t>F-003-00000017121</t>
  </si>
  <si>
    <t>F-003-00000017151</t>
  </si>
  <si>
    <t>F-003-00000017191</t>
  </si>
  <si>
    <t>F-003-00000017226</t>
  </si>
  <si>
    <t>R-001-00000023155</t>
  </si>
  <si>
    <t>F-003-00000017498</t>
  </si>
  <si>
    <t>R-001-00000023158</t>
  </si>
  <si>
    <t>F-003-00000017398</t>
  </si>
  <si>
    <t>R-001-00000023159</t>
  </si>
  <si>
    <t>F-003-00000017327</t>
  </si>
  <si>
    <t xml:space="preserve">LABORATORIOS BIOCRESS SAS                                                                           </t>
  </si>
  <si>
    <t>F-003-00000017353</t>
  </si>
  <si>
    <t>R-001-00000023165</t>
  </si>
  <si>
    <t>R-001-00000023181</t>
  </si>
  <si>
    <t>F-003-00000017334</t>
  </si>
  <si>
    <t xml:space="preserve">LABORATORIOS INDUSTRIALES LPS SAS                                                                   </t>
  </si>
  <si>
    <t>F-003-00000017335</t>
  </si>
  <si>
    <t>R-001-00000023183</t>
  </si>
  <si>
    <t>F-003-00000017368</t>
  </si>
  <si>
    <t xml:space="preserve">MCM COMPANY SAS                                                                                     </t>
  </si>
  <si>
    <t xml:space="preserve">0026 ARISTIZABAL SALAZAR DANIELA   </t>
  </si>
  <si>
    <t xml:space="preserve">ARISTIZABAL SALAZAR DANIELA   </t>
  </si>
  <si>
    <t>R-001-00000023117</t>
  </si>
  <si>
    <t>F-003-00000017318</t>
  </si>
  <si>
    <t>F-003-00000017336</t>
  </si>
  <si>
    <t>F-003-00000017309</t>
  </si>
  <si>
    <t>F-003-00000017316</t>
  </si>
  <si>
    <t>F-003-00000017345</t>
  </si>
  <si>
    <t>F-003-00000017354</t>
  </si>
  <si>
    <t>F-003-00000017382</t>
  </si>
  <si>
    <t>R-001-00000023139</t>
  </si>
  <si>
    <t>F-003-00000017209</t>
  </si>
  <si>
    <t xml:space="preserve">TRADE PASSING S A S                                                                                 </t>
  </si>
  <si>
    <t>F-003-00000017218</t>
  </si>
  <si>
    <t>F-003-00000017241</t>
  </si>
  <si>
    <t>R-001-00000023143</t>
  </si>
  <si>
    <t>F-003-00000017362</t>
  </si>
  <si>
    <t>R-001-00000023145</t>
  </si>
  <si>
    <t>F-003-00000017249</t>
  </si>
  <si>
    <t xml:space="preserve">INDUSTRIAS BISONTE SA                                                                               </t>
  </si>
  <si>
    <t>R-001-00000023154</t>
  </si>
  <si>
    <t>F-003-00000017381</t>
  </si>
  <si>
    <t>R-001-00000023160</t>
  </si>
  <si>
    <t>F-003-00000017264</t>
  </si>
  <si>
    <t>R-001-00000023179</t>
  </si>
  <si>
    <t>F-003-00000017340</t>
  </si>
  <si>
    <t>F-003-00000017352</t>
  </si>
  <si>
    <t xml:space="preserve">Total 0001 MALAGON CRUZ LEIDY MILENA     </t>
  </si>
  <si>
    <t xml:space="preserve">Total 0018 CASTAÑO AGUDELO MONICA JANETH </t>
  </si>
  <si>
    <t xml:space="preserve">Total 0022 PARDO OCHOA JULIANA           </t>
  </si>
  <si>
    <t xml:space="preserve">Total 0024 CUETER NAVARRO MARIA CLAUDIA  </t>
  </si>
  <si>
    <t>Total 0025 ORTEGA GUTIERREZ MARIA JULIANA</t>
  </si>
  <si>
    <t xml:space="preserve">Total 0026 ARISTIZABAL SALAZAR DANIELA   </t>
  </si>
  <si>
    <t>Total general</t>
  </si>
  <si>
    <t>Procesado en: 2026/04/01  09:35:44:50</t>
  </si>
  <si>
    <t>De: MAR  1/2026 A: MAR 31/2026</t>
  </si>
  <si>
    <t>INFORME DE COMISIONES POR VENDEDOR</t>
  </si>
  <si>
    <t>Siigo - FINEAROM SAS</t>
  </si>
  <si>
    <t>MAR/31/2026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</si>
</sst>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m/dd"/>
    <numFmt numFmtId="165" formatCode="##,##0_);[Red]\(##,##0\)"/>
    <numFmt numFmtId="166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6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abSelected="1" workbookViewId="0">
      <selection sqref="A1:M1"/>
    </sheetView>
  </sheetViews>
  <sheetFormatPr baseColWidth="10" defaultRowHeight="12.75" outlineLevelRow="2"/>
  <cols>
    <col min="1" max="1" width="51.7109375" style="2" bestFit="1" customWidth="1"/>
    <col min="2" max="2" width="9.5703125" style="2" hidden="1" customWidth="1"/>
    <col min="3" max="3" width="37.140625" style="2" hidden="1" customWidth="1"/>
    <col min="4" max="4" width="11.85546875" style="3" bestFit="1" customWidth="1"/>
    <col min="5" max="5" width="20.85546875" style="2" bestFit="1" customWidth="1"/>
    <col min="6" max="6" width="11.85546875" style="3" bestFit="1" customWidth="1"/>
    <col min="7" max="7" width="20.28515625" style="2" bestFit="1" customWidth="1"/>
    <col min="8" max="8" width="13.5703125" style="4" bestFit="1" customWidth="1"/>
    <col min="9" max="9" width="11.140625" style="2" bestFit="1" customWidth="1"/>
    <col min="10" max="10" width="115.7109375" style="2" bestFit="1" customWidth="1"/>
    <col min="11" max="11" width="6.5703125" style="4" bestFit="1" customWidth="1"/>
    <col min="12" max="12" width="20.7109375" style="5" bestFit="1" customWidth="1"/>
    <col min="13" max="13" width="9.140625" style="2" bestFit="1" customWidth="1"/>
    <col min="14" max="14" width="17.7109375" style="5" bestFit="1" customWidth="1"/>
    <col min="15" max="16384" width="11.42578125" style="1"/>
  </cols>
  <sheetData>
    <row r="1" spans="1:14" ht="15">
      <c r="A1" s="15" t="s">
        <v>248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9" t="s">
        <v>249</v>
      </c>
    </row>
    <row r="2" spans="1:14" ht="23.25">
      <c r="A2" s="17" t="s">
        <v>247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3.25">
      <c r="A3" s="17" t="s">
        <v>246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>
      <c r="A4" s="6"/>
      <c r="B4" s="6"/>
      <c r="C4" s="6"/>
      <c r="D4" s="7"/>
      <c r="E4" s="6"/>
      <c r="F4" s="7"/>
      <c r="G4" s="6"/>
      <c r="H4" s="8"/>
      <c r="I4" s="6"/>
      <c r="J4" s="6"/>
      <c r="K4" s="8"/>
      <c r="L4" s="9"/>
      <c r="M4" s="6"/>
      <c r="N4" s="9"/>
    </row>
    <row r="5" spans="1:14" ht="15">
      <c r="A5" s="15" t="s">
        <v>245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7" spans="1:14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1" t="s">
        <v>5</v>
      </c>
      <c r="G7" s="10" t="s">
        <v>6</v>
      </c>
      <c r="H7" s="12" t="s">
        <v>7</v>
      </c>
      <c r="I7" s="10" t="s">
        <v>8</v>
      </c>
      <c r="J7" s="10" t="s">
        <v>9</v>
      </c>
      <c r="K7" s="12" t="s">
        <v>10</v>
      </c>
      <c r="L7" s="13" t="s">
        <v>11</v>
      </c>
      <c r="M7" s="10" t="s">
        <v>12</v>
      </c>
      <c r="N7" s="13" t="s">
        <v>13</v>
      </c>
    </row>
    <row r="8" spans="1:14" outlineLevel="2">
      <c r="A8" s="2" t="s">
        <v>14</v>
      </c>
      <c r="B8" s="2">
        <v>1</v>
      </c>
      <c r="C8" s="2" t="s">
        <v>15</v>
      </c>
      <c r="D8" s="3">
        <v>46099</v>
      </c>
      <c r="E8" s="2" t="s">
        <v>16</v>
      </c>
      <c r="F8" s="3">
        <v>46106</v>
      </c>
      <c r="G8" s="2" t="s">
        <v>17</v>
      </c>
      <c r="H8" s="4">
        <v>901900882</v>
      </c>
      <c r="I8" s="2">
        <v>0</v>
      </c>
      <c r="J8" s="2" t="s">
        <v>18</v>
      </c>
      <c r="K8" s="4">
        <v>-7</v>
      </c>
      <c r="L8" s="5">
        <v>1112703.55</v>
      </c>
      <c r="M8" s="2">
        <v>0</v>
      </c>
      <c r="N8" s="5">
        <v>0</v>
      </c>
    </row>
    <row r="9" spans="1:14" outlineLevel="1">
      <c r="A9" s="14" t="s">
        <v>238</v>
      </c>
      <c r="L9" s="5">
        <f>SUBTOTAL(9,L8:L8)</f>
        <v>1112703.55</v>
      </c>
      <c r="N9" s="5">
        <f>SUBTOTAL(9,N8:N8)</f>
        <v>0</v>
      </c>
    </row>
    <row r="10" spans="1:14" outlineLevel="2">
      <c r="A10" s="2" t="s">
        <v>19</v>
      </c>
      <c r="B10" s="2">
        <v>18</v>
      </c>
      <c r="C10" s="2" t="s">
        <v>20</v>
      </c>
      <c r="D10" s="3">
        <v>46083</v>
      </c>
      <c r="E10" s="2" t="s">
        <v>21</v>
      </c>
      <c r="F10" s="3">
        <v>46054</v>
      </c>
      <c r="G10" s="2" t="s">
        <v>22</v>
      </c>
      <c r="H10" s="4">
        <v>900860484</v>
      </c>
      <c r="I10" s="2">
        <v>0</v>
      </c>
      <c r="J10" s="2" t="s">
        <v>23</v>
      </c>
      <c r="K10" s="4">
        <v>31</v>
      </c>
      <c r="L10" s="5">
        <v>20429184.559999999</v>
      </c>
      <c r="M10" s="2">
        <v>0</v>
      </c>
      <c r="N10" s="5">
        <v>0</v>
      </c>
    </row>
    <row r="11" spans="1:14" outlineLevel="2">
      <c r="A11" s="2" t="s">
        <v>19</v>
      </c>
      <c r="B11" s="2">
        <v>18</v>
      </c>
      <c r="C11" s="2" t="s">
        <v>20</v>
      </c>
      <c r="D11" s="3">
        <v>46085</v>
      </c>
      <c r="E11" s="2" t="s">
        <v>24</v>
      </c>
      <c r="F11" s="3">
        <v>46056</v>
      </c>
      <c r="G11" s="2" t="s">
        <v>25</v>
      </c>
      <c r="H11" s="4">
        <v>900860484</v>
      </c>
      <c r="I11" s="2">
        <v>0</v>
      </c>
      <c r="J11" s="2" t="s">
        <v>23</v>
      </c>
      <c r="K11" s="4">
        <v>31</v>
      </c>
      <c r="L11" s="5">
        <v>21220427.5</v>
      </c>
      <c r="M11" s="2">
        <v>0</v>
      </c>
      <c r="N11" s="5">
        <v>0</v>
      </c>
    </row>
    <row r="12" spans="1:14" outlineLevel="2">
      <c r="A12" s="2" t="s">
        <v>19</v>
      </c>
      <c r="B12" s="2">
        <v>18</v>
      </c>
      <c r="C12" s="2" t="s">
        <v>20</v>
      </c>
      <c r="D12" s="3">
        <v>46085</v>
      </c>
      <c r="E12" s="2" t="s">
        <v>26</v>
      </c>
      <c r="F12" s="3">
        <v>46144</v>
      </c>
      <c r="G12" s="2" t="s">
        <v>27</v>
      </c>
      <c r="H12" s="4">
        <v>901209350</v>
      </c>
      <c r="I12" s="2">
        <v>0</v>
      </c>
      <c r="J12" s="2" t="s">
        <v>28</v>
      </c>
      <c r="K12" s="4">
        <v>-58</v>
      </c>
      <c r="L12" s="5">
        <v>2534176.65</v>
      </c>
      <c r="M12" s="2">
        <v>0</v>
      </c>
      <c r="N12" s="5">
        <v>0</v>
      </c>
    </row>
    <row r="13" spans="1:14" outlineLevel="2">
      <c r="A13" s="2" t="s">
        <v>19</v>
      </c>
      <c r="B13" s="2">
        <v>18</v>
      </c>
      <c r="C13" s="2" t="s">
        <v>20</v>
      </c>
      <c r="D13" s="3">
        <v>46087</v>
      </c>
      <c r="E13" s="2" t="s">
        <v>29</v>
      </c>
      <c r="F13" s="3">
        <v>46146</v>
      </c>
      <c r="G13" s="2" t="s">
        <v>30</v>
      </c>
      <c r="H13" s="4">
        <v>901209350</v>
      </c>
      <c r="I13" s="2">
        <v>0</v>
      </c>
      <c r="J13" s="2" t="s">
        <v>28</v>
      </c>
      <c r="K13" s="4">
        <v>-58</v>
      </c>
      <c r="L13" s="5">
        <v>21323458.289999999</v>
      </c>
      <c r="M13" s="2">
        <v>0</v>
      </c>
      <c r="N13" s="5">
        <v>0</v>
      </c>
    </row>
    <row r="14" spans="1:14" outlineLevel="2">
      <c r="A14" s="2" t="s">
        <v>19</v>
      </c>
      <c r="B14" s="2">
        <v>18</v>
      </c>
      <c r="C14" s="2" t="s">
        <v>20</v>
      </c>
      <c r="D14" s="3">
        <v>46090</v>
      </c>
      <c r="E14" s="2" t="s">
        <v>31</v>
      </c>
      <c r="F14" s="3">
        <v>46056</v>
      </c>
      <c r="G14" s="2" t="s">
        <v>25</v>
      </c>
      <c r="H14" s="4">
        <v>900860484</v>
      </c>
      <c r="I14" s="2">
        <v>0</v>
      </c>
      <c r="J14" s="2" t="s">
        <v>23</v>
      </c>
      <c r="K14" s="4">
        <v>36</v>
      </c>
      <c r="L14" s="5">
        <v>20429184.559999999</v>
      </c>
      <c r="M14" s="2">
        <v>0</v>
      </c>
      <c r="N14" s="5">
        <v>0</v>
      </c>
    </row>
    <row r="15" spans="1:14" outlineLevel="2">
      <c r="A15" s="2" t="s">
        <v>19</v>
      </c>
      <c r="B15" s="2">
        <v>18</v>
      </c>
      <c r="C15" s="2" t="s">
        <v>20</v>
      </c>
      <c r="D15" s="3">
        <v>46091</v>
      </c>
      <c r="E15" s="2" t="s">
        <v>32</v>
      </c>
      <c r="F15" s="3">
        <v>46116</v>
      </c>
      <c r="G15" s="2" t="s">
        <v>33</v>
      </c>
      <c r="H15" s="4">
        <v>901209350</v>
      </c>
      <c r="I15" s="2">
        <v>0</v>
      </c>
      <c r="J15" s="2" t="s">
        <v>28</v>
      </c>
      <c r="K15" s="4">
        <v>-24</v>
      </c>
      <c r="L15" s="5">
        <v>1181018.8</v>
      </c>
      <c r="M15" s="2">
        <v>0</v>
      </c>
      <c r="N15" s="5">
        <v>0</v>
      </c>
    </row>
    <row r="16" spans="1:14" outlineLevel="2">
      <c r="A16" s="2" t="s">
        <v>19</v>
      </c>
      <c r="B16" s="2">
        <v>18</v>
      </c>
      <c r="C16" s="2" t="s">
        <v>20</v>
      </c>
      <c r="D16" s="3">
        <v>46091</v>
      </c>
      <c r="E16" s="2" t="s">
        <v>32</v>
      </c>
      <c r="F16" s="3">
        <v>46150</v>
      </c>
      <c r="G16" s="2" t="s">
        <v>34</v>
      </c>
      <c r="H16" s="4">
        <v>901209350</v>
      </c>
      <c r="I16" s="2">
        <v>0</v>
      </c>
      <c r="J16" s="2" t="s">
        <v>28</v>
      </c>
      <c r="K16" s="4">
        <v>-58</v>
      </c>
      <c r="L16" s="5">
        <v>6974105.4000000004</v>
      </c>
      <c r="M16" s="2">
        <v>0</v>
      </c>
      <c r="N16" s="5">
        <v>0</v>
      </c>
    </row>
    <row r="17" spans="1:14" outlineLevel="2">
      <c r="A17" s="2" t="s">
        <v>19</v>
      </c>
      <c r="B17" s="2">
        <v>18</v>
      </c>
      <c r="C17" s="2" t="s">
        <v>20</v>
      </c>
      <c r="D17" s="3">
        <v>46093</v>
      </c>
      <c r="E17" s="2" t="s">
        <v>35</v>
      </c>
      <c r="F17" s="3">
        <v>46062</v>
      </c>
      <c r="G17" s="2" t="s">
        <v>36</v>
      </c>
      <c r="H17" s="4">
        <v>900860484</v>
      </c>
      <c r="I17" s="2">
        <v>0</v>
      </c>
      <c r="J17" s="2" t="s">
        <v>23</v>
      </c>
      <c r="K17" s="4">
        <v>33</v>
      </c>
      <c r="L17" s="5">
        <v>20514098.219999999</v>
      </c>
      <c r="M17" s="2">
        <v>0</v>
      </c>
      <c r="N17" s="5">
        <v>0</v>
      </c>
    </row>
    <row r="18" spans="1:14" outlineLevel="2">
      <c r="A18" s="2" t="s">
        <v>19</v>
      </c>
      <c r="B18" s="2">
        <v>18</v>
      </c>
      <c r="C18" s="2" t="s">
        <v>20</v>
      </c>
      <c r="D18" s="3">
        <v>46093</v>
      </c>
      <c r="E18" s="2" t="s">
        <v>35</v>
      </c>
      <c r="F18" s="3">
        <v>46063</v>
      </c>
      <c r="G18" s="2" t="s">
        <v>37</v>
      </c>
      <c r="H18" s="4">
        <v>900860484</v>
      </c>
      <c r="I18" s="2">
        <v>0</v>
      </c>
      <c r="J18" s="2" t="s">
        <v>23</v>
      </c>
      <c r="K18" s="4">
        <v>32</v>
      </c>
      <c r="L18" s="5">
        <v>6558732.5999999996</v>
      </c>
      <c r="M18" s="2">
        <v>0</v>
      </c>
      <c r="N18" s="5">
        <v>0</v>
      </c>
    </row>
    <row r="19" spans="1:14" outlineLevel="2">
      <c r="A19" s="2" t="s">
        <v>19</v>
      </c>
      <c r="B19" s="2">
        <v>18</v>
      </c>
      <c r="C19" s="2" t="s">
        <v>20</v>
      </c>
      <c r="D19" s="3">
        <v>46093</v>
      </c>
      <c r="E19" s="2" t="s">
        <v>38</v>
      </c>
      <c r="F19" s="3">
        <v>46098</v>
      </c>
      <c r="G19" s="2" t="s">
        <v>39</v>
      </c>
      <c r="H19" s="4">
        <v>901209350</v>
      </c>
      <c r="I19" s="2">
        <v>0</v>
      </c>
      <c r="J19" s="2" t="s">
        <v>28</v>
      </c>
      <c r="K19" s="4">
        <v>-5</v>
      </c>
      <c r="L19" s="5">
        <v>383720.26</v>
      </c>
      <c r="M19" s="2">
        <v>0</v>
      </c>
      <c r="N19" s="5">
        <v>0</v>
      </c>
    </row>
    <row r="20" spans="1:14" outlineLevel="2">
      <c r="A20" s="2" t="s">
        <v>19</v>
      </c>
      <c r="B20" s="2">
        <v>18</v>
      </c>
      <c r="C20" s="2" t="s">
        <v>20</v>
      </c>
      <c r="D20" s="3">
        <v>46093</v>
      </c>
      <c r="E20" s="2" t="s">
        <v>38</v>
      </c>
      <c r="F20" s="3">
        <v>46136</v>
      </c>
      <c r="G20" s="2" t="s">
        <v>40</v>
      </c>
      <c r="H20" s="4">
        <v>901209350</v>
      </c>
      <c r="I20" s="2">
        <v>0</v>
      </c>
      <c r="J20" s="2" t="s">
        <v>28</v>
      </c>
      <c r="K20" s="4">
        <v>-42</v>
      </c>
      <c r="L20" s="5">
        <v>376789.7</v>
      </c>
      <c r="M20" s="2">
        <v>0</v>
      </c>
      <c r="N20" s="5">
        <v>0</v>
      </c>
    </row>
    <row r="21" spans="1:14" outlineLevel="2">
      <c r="A21" s="2" t="s">
        <v>19</v>
      </c>
      <c r="B21" s="2">
        <v>18</v>
      </c>
      <c r="C21" s="2" t="s">
        <v>20</v>
      </c>
      <c r="D21" s="3">
        <v>46094</v>
      </c>
      <c r="E21" s="2" t="s">
        <v>41</v>
      </c>
      <c r="F21" s="3">
        <v>46068</v>
      </c>
      <c r="G21" s="2" t="s">
        <v>42</v>
      </c>
      <c r="H21" s="4">
        <v>900860484</v>
      </c>
      <c r="I21" s="2">
        <v>0</v>
      </c>
      <c r="J21" s="2" t="s">
        <v>23</v>
      </c>
      <c r="K21" s="4">
        <v>28</v>
      </c>
      <c r="L21" s="5">
        <v>2861595.38</v>
      </c>
      <c r="M21" s="2">
        <v>0</v>
      </c>
      <c r="N21" s="5">
        <v>0</v>
      </c>
    </row>
    <row r="22" spans="1:14" outlineLevel="2">
      <c r="A22" s="2" t="s">
        <v>19</v>
      </c>
      <c r="B22" s="2">
        <v>18</v>
      </c>
      <c r="C22" s="2" t="s">
        <v>20</v>
      </c>
      <c r="D22" s="3">
        <v>46094</v>
      </c>
      <c r="E22" s="2" t="s">
        <v>41</v>
      </c>
      <c r="F22" s="3">
        <v>46095</v>
      </c>
      <c r="G22" s="2" t="s">
        <v>43</v>
      </c>
      <c r="H22" s="4">
        <v>900860484</v>
      </c>
      <c r="I22" s="2">
        <v>0</v>
      </c>
      <c r="J22" s="2" t="s">
        <v>23</v>
      </c>
      <c r="K22" s="4">
        <v>-1</v>
      </c>
      <c r="L22" s="5">
        <v>2200905</v>
      </c>
      <c r="M22" s="2">
        <v>0</v>
      </c>
      <c r="N22" s="5">
        <v>0</v>
      </c>
    </row>
    <row r="23" spans="1:14" outlineLevel="2">
      <c r="A23" s="2" t="s">
        <v>19</v>
      </c>
      <c r="B23" s="2">
        <v>18</v>
      </c>
      <c r="C23" s="2" t="s">
        <v>20</v>
      </c>
      <c r="D23" s="3">
        <v>46100</v>
      </c>
      <c r="E23" s="2" t="s">
        <v>44</v>
      </c>
      <c r="F23" s="3">
        <v>46069</v>
      </c>
      <c r="G23" s="2" t="s">
        <v>45</v>
      </c>
      <c r="H23" s="4">
        <v>900860484</v>
      </c>
      <c r="I23" s="2">
        <v>0</v>
      </c>
      <c r="J23" s="2" t="s">
        <v>23</v>
      </c>
      <c r="K23" s="4">
        <v>33</v>
      </c>
      <c r="L23" s="5">
        <v>16796149.09</v>
      </c>
      <c r="M23" s="2">
        <v>0</v>
      </c>
      <c r="N23" s="5">
        <v>0</v>
      </c>
    </row>
    <row r="24" spans="1:14" outlineLevel="2">
      <c r="A24" s="2" t="s">
        <v>19</v>
      </c>
      <c r="B24" s="2">
        <v>18</v>
      </c>
      <c r="C24" s="2" t="s">
        <v>20</v>
      </c>
      <c r="D24" s="3">
        <v>46106</v>
      </c>
      <c r="E24" s="2" t="s">
        <v>46</v>
      </c>
      <c r="F24" s="3">
        <v>46090</v>
      </c>
      <c r="G24" s="2" t="s">
        <v>47</v>
      </c>
      <c r="H24" s="4">
        <v>444444520</v>
      </c>
      <c r="I24" s="2">
        <v>0</v>
      </c>
      <c r="J24" s="2" t="s">
        <v>48</v>
      </c>
      <c r="K24" s="4">
        <v>16</v>
      </c>
      <c r="L24" s="5">
        <v>39895808.039999999</v>
      </c>
      <c r="M24" s="2">
        <v>0</v>
      </c>
      <c r="N24" s="5">
        <v>0</v>
      </c>
    </row>
    <row r="25" spans="1:14" outlineLevel="2">
      <c r="A25" s="2" t="s">
        <v>19</v>
      </c>
      <c r="B25" s="2">
        <v>18</v>
      </c>
      <c r="C25" s="2" t="s">
        <v>20</v>
      </c>
      <c r="D25" s="3">
        <v>46107</v>
      </c>
      <c r="E25" s="2" t="s">
        <v>49</v>
      </c>
      <c r="F25" s="3">
        <v>46099</v>
      </c>
      <c r="G25" s="2" t="s">
        <v>50</v>
      </c>
      <c r="H25" s="4">
        <v>900860484</v>
      </c>
      <c r="I25" s="2">
        <v>0</v>
      </c>
      <c r="J25" s="2" t="s">
        <v>23</v>
      </c>
      <c r="K25" s="4">
        <v>8</v>
      </c>
      <c r="L25" s="5">
        <v>8493095.4499999993</v>
      </c>
      <c r="M25" s="2">
        <v>0</v>
      </c>
      <c r="N25" s="5">
        <v>0</v>
      </c>
    </row>
    <row r="26" spans="1:14" outlineLevel="2">
      <c r="A26" s="2" t="s">
        <v>19</v>
      </c>
      <c r="B26" s="2">
        <v>18</v>
      </c>
      <c r="C26" s="2" t="s">
        <v>20</v>
      </c>
      <c r="D26" s="3">
        <v>46107</v>
      </c>
      <c r="E26" s="2" t="s">
        <v>49</v>
      </c>
      <c r="F26" s="3">
        <v>46100</v>
      </c>
      <c r="G26" s="2" t="s">
        <v>51</v>
      </c>
      <c r="H26" s="4">
        <v>900860484</v>
      </c>
      <c r="I26" s="2">
        <v>0</v>
      </c>
      <c r="J26" s="2" t="s">
        <v>23</v>
      </c>
      <c r="K26" s="4">
        <v>7</v>
      </c>
      <c r="L26" s="5">
        <v>2114921.5499999998</v>
      </c>
      <c r="M26" s="2">
        <v>0</v>
      </c>
      <c r="N26" s="5">
        <v>0</v>
      </c>
    </row>
    <row r="27" spans="1:14" outlineLevel="2">
      <c r="A27" s="2" t="s">
        <v>19</v>
      </c>
      <c r="B27" s="2">
        <v>18</v>
      </c>
      <c r="C27" s="2" t="s">
        <v>20</v>
      </c>
      <c r="D27" s="3">
        <v>46105</v>
      </c>
      <c r="E27" s="2" t="s">
        <v>52</v>
      </c>
      <c r="F27" s="3">
        <v>46105</v>
      </c>
      <c r="G27" s="2" t="s">
        <v>53</v>
      </c>
      <c r="H27" s="4">
        <v>900012911</v>
      </c>
      <c r="I27" s="2">
        <v>0</v>
      </c>
      <c r="J27" s="2" t="s">
        <v>54</v>
      </c>
      <c r="K27" s="4">
        <v>0</v>
      </c>
      <c r="L27" s="5">
        <v>1275963.22</v>
      </c>
      <c r="M27" s="2">
        <v>0</v>
      </c>
      <c r="N27" s="5">
        <v>0</v>
      </c>
    </row>
    <row r="28" spans="1:14" outlineLevel="2">
      <c r="A28" s="2" t="s">
        <v>19</v>
      </c>
      <c r="B28" s="2">
        <v>18</v>
      </c>
      <c r="C28" s="2" t="s">
        <v>20</v>
      </c>
      <c r="D28" s="3">
        <v>46111</v>
      </c>
      <c r="E28" s="2" t="s">
        <v>55</v>
      </c>
      <c r="F28" s="3">
        <v>46096</v>
      </c>
      <c r="G28" s="2" t="s">
        <v>56</v>
      </c>
      <c r="H28" s="4">
        <v>444444608</v>
      </c>
      <c r="I28" s="2">
        <v>0</v>
      </c>
      <c r="J28" s="2" t="s">
        <v>57</v>
      </c>
      <c r="K28" s="4">
        <v>15</v>
      </c>
      <c r="L28" s="5">
        <v>25915628.899999999</v>
      </c>
      <c r="M28" s="2">
        <v>0</v>
      </c>
      <c r="N28" s="5">
        <v>0</v>
      </c>
    </row>
    <row r="29" spans="1:14" outlineLevel="2">
      <c r="A29" s="2" t="s">
        <v>19</v>
      </c>
      <c r="B29" s="2">
        <v>18</v>
      </c>
      <c r="C29" s="2" t="s">
        <v>20</v>
      </c>
      <c r="D29" s="3">
        <v>46111</v>
      </c>
      <c r="E29" s="2" t="s">
        <v>55</v>
      </c>
      <c r="F29" s="3">
        <v>46096</v>
      </c>
      <c r="G29" s="2" t="s">
        <v>58</v>
      </c>
      <c r="H29" s="4">
        <v>444444608</v>
      </c>
      <c r="I29" s="2">
        <v>0</v>
      </c>
      <c r="J29" s="2" t="s">
        <v>57</v>
      </c>
      <c r="K29" s="4">
        <v>15</v>
      </c>
      <c r="L29" s="5">
        <v>12631527.300000001</v>
      </c>
      <c r="M29" s="2">
        <v>0</v>
      </c>
      <c r="N29" s="5">
        <v>0</v>
      </c>
    </row>
    <row r="30" spans="1:14" outlineLevel="2">
      <c r="A30" s="2" t="s">
        <v>19</v>
      </c>
      <c r="B30" s="2">
        <v>18</v>
      </c>
      <c r="C30" s="2" t="s">
        <v>20</v>
      </c>
      <c r="D30" s="3">
        <v>46111</v>
      </c>
      <c r="E30" s="2" t="s">
        <v>55</v>
      </c>
      <c r="F30" s="3">
        <v>46096</v>
      </c>
      <c r="G30" s="2" t="s">
        <v>59</v>
      </c>
      <c r="H30" s="4">
        <v>444444608</v>
      </c>
      <c r="I30" s="2">
        <v>0</v>
      </c>
      <c r="J30" s="2" t="s">
        <v>57</v>
      </c>
      <c r="K30" s="4">
        <v>15</v>
      </c>
      <c r="L30" s="5">
        <v>12138260.689999999</v>
      </c>
      <c r="M30" s="2">
        <v>0</v>
      </c>
      <c r="N30" s="5">
        <v>0</v>
      </c>
    </row>
    <row r="31" spans="1:14" outlineLevel="1">
      <c r="A31" s="14" t="s">
        <v>239</v>
      </c>
      <c r="L31" s="5">
        <f>SUBTOTAL(9,L10:L30)</f>
        <v>246248751.16</v>
      </c>
      <c r="N31" s="5">
        <f>SUBTOTAL(9,N10:N30)</f>
        <v>0</v>
      </c>
    </row>
    <row r="32" spans="1:14" outlineLevel="2">
      <c r="A32" s="2" t="s">
        <v>60</v>
      </c>
      <c r="B32" s="2">
        <v>22</v>
      </c>
      <c r="C32" s="2" t="s">
        <v>61</v>
      </c>
      <c r="D32" s="3">
        <v>46086</v>
      </c>
      <c r="E32" s="2" t="s">
        <v>62</v>
      </c>
      <c r="F32" s="3">
        <v>46062</v>
      </c>
      <c r="G32" s="2" t="s">
        <v>63</v>
      </c>
      <c r="H32" s="4">
        <v>860001777</v>
      </c>
      <c r="I32" s="2">
        <v>0</v>
      </c>
      <c r="J32" s="2" t="s">
        <v>64</v>
      </c>
      <c r="K32" s="4">
        <v>26</v>
      </c>
      <c r="L32" s="5">
        <v>5008317.3</v>
      </c>
      <c r="M32" s="2">
        <v>0</v>
      </c>
      <c r="N32" s="5">
        <v>0</v>
      </c>
    </row>
    <row r="33" spans="1:14" outlineLevel="2">
      <c r="A33" s="2" t="s">
        <v>60</v>
      </c>
      <c r="B33" s="2">
        <v>22</v>
      </c>
      <c r="C33" s="2" t="s">
        <v>61</v>
      </c>
      <c r="D33" s="3">
        <v>46086</v>
      </c>
      <c r="E33" s="2" t="s">
        <v>62</v>
      </c>
      <c r="F33" s="3">
        <v>46062</v>
      </c>
      <c r="G33" s="2" t="s">
        <v>65</v>
      </c>
      <c r="H33" s="4">
        <v>860001777</v>
      </c>
      <c r="I33" s="2">
        <v>0</v>
      </c>
      <c r="J33" s="2" t="s">
        <v>64</v>
      </c>
      <c r="K33" s="4">
        <v>26</v>
      </c>
      <c r="L33" s="5">
        <v>2825750.2</v>
      </c>
      <c r="M33" s="2">
        <v>0</v>
      </c>
      <c r="N33" s="5">
        <v>0</v>
      </c>
    </row>
    <row r="34" spans="1:14" outlineLevel="2">
      <c r="A34" s="2" t="s">
        <v>60</v>
      </c>
      <c r="B34" s="2">
        <v>22</v>
      </c>
      <c r="C34" s="2" t="s">
        <v>61</v>
      </c>
      <c r="D34" s="3">
        <v>46094</v>
      </c>
      <c r="E34" s="2" t="s">
        <v>66</v>
      </c>
      <c r="F34" s="3">
        <v>46081</v>
      </c>
      <c r="G34" s="2" t="s">
        <v>67</v>
      </c>
      <c r="H34" s="4">
        <v>901208344</v>
      </c>
      <c r="I34" s="2">
        <v>0</v>
      </c>
      <c r="J34" s="2" t="s">
        <v>68</v>
      </c>
      <c r="K34" s="4">
        <v>15</v>
      </c>
      <c r="L34" s="5">
        <v>621435.85</v>
      </c>
      <c r="M34" s="2">
        <v>0</v>
      </c>
      <c r="N34" s="5">
        <v>0</v>
      </c>
    </row>
    <row r="35" spans="1:14" outlineLevel="2">
      <c r="A35" s="2" t="s">
        <v>60</v>
      </c>
      <c r="B35" s="2">
        <v>22</v>
      </c>
      <c r="C35" s="2" t="s">
        <v>61</v>
      </c>
      <c r="D35" s="3">
        <v>46098</v>
      </c>
      <c r="E35" s="2" t="s">
        <v>69</v>
      </c>
      <c r="F35" s="3">
        <v>46106</v>
      </c>
      <c r="G35" s="2" t="s">
        <v>70</v>
      </c>
      <c r="H35" s="4">
        <v>900265795</v>
      </c>
      <c r="I35" s="2">
        <v>0</v>
      </c>
      <c r="J35" s="2" t="s">
        <v>71</v>
      </c>
      <c r="K35" s="4">
        <v>-8</v>
      </c>
      <c r="L35" s="5">
        <v>5624552.8499999996</v>
      </c>
      <c r="M35" s="2">
        <v>0</v>
      </c>
      <c r="N35" s="5">
        <v>0</v>
      </c>
    </row>
    <row r="36" spans="1:14" outlineLevel="2">
      <c r="A36" s="2" t="s">
        <v>60</v>
      </c>
      <c r="B36" s="2">
        <v>22</v>
      </c>
      <c r="C36" s="2" t="s">
        <v>61</v>
      </c>
      <c r="D36" s="3">
        <v>46098</v>
      </c>
      <c r="E36" s="2" t="s">
        <v>69</v>
      </c>
      <c r="F36" s="3">
        <v>46109</v>
      </c>
      <c r="G36" s="2" t="s">
        <v>72</v>
      </c>
      <c r="H36" s="4">
        <v>900265795</v>
      </c>
      <c r="I36" s="2">
        <v>0</v>
      </c>
      <c r="J36" s="2" t="s">
        <v>71</v>
      </c>
      <c r="K36" s="4">
        <v>-11</v>
      </c>
      <c r="L36" s="5">
        <v>380181.2</v>
      </c>
      <c r="M36" s="2">
        <v>0</v>
      </c>
      <c r="N36" s="5">
        <v>0</v>
      </c>
    </row>
    <row r="37" spans="1:14" outlineLevel="2">
      <c r="A37" s="2" t="s">
        <v>60</v>
      </c>
      <c r="B37" s="2">
        <v>22</v>
      </c>
      <c r="C37" s="2" t="s">
        <v>61</v>
      </c>
      <c r="D37" s="3">
        <v>46093</v>
      </c>
      <c r="E37" s="2" t="s">
        <v>73</v>
      </c>
      <c r="F37" s="3">
        <v>46089</v>
      </c>
      <c r="G37" s="2" t="s">
        <v>74</v>
      </c>
      <c r="H37" s="4">
        <v>901338950</v>
      </c>
      <c r="I37" s="2">
        <v>0</v>
      </c>
      <c r="J37" s="2" t="s">
        <v>75</v>
      </c>
      <c r="K37" s="4">
        <v>4</v>
      </c>
      <c r="L37" s="5">
        <v>2214523.36</v>
      </c>
      <c r="M37" s="2">
        <v>0</v>
      </c>
      <c r="N37" s="5">
        <v>0</v>
      </c>
    </row>
    <row r="38" spans="1:14" outlineLevel="2">
      <c r="A38" s="2" t="s">
        <v>60</v>
      </c>
      <c r="B38" s="2">
        <v>22</v>
      </c>
      <c r="C38" s="2" t="s">
        <v>61</v>
      </c>
      <c r="D38" s="3">
        <v>46101</v>
      </c>
      <c r="E38" s="2" t="s">
        <v>76</v>
      </c>
      <c r="F38" s="3">
        <v>46095</v>
      </c>
      <c r="G38" s="2" t="s">
        <v>77</v>
      </c>
      <c r="H38" s="4">
        <v>900111608</v>
      </c>
      <c r="I38" s="2">
        <v>0</v>
      </c>
      <c r="J38" s="2" t="s">
        <v>78</v>
      </c>
      <c r="K38" s="4">
        <v>6</v>
      </c>
      <c r="L38" s="5">
        <v>47693772</v>
      </c>
      <c r="M38" s="2">
        <v>0</v>
      </c>
      <c r="N38" s="5">
        <v>0</v>
      </c>
    </row>
    <row r="39" spans="1:14" outlineLevel="2">
      <c r="A39" s="2" t="s">
        <v>60</v>
      </c>
      <c r="B39" s="2">
        <v>22</v>
      </c>
      <c r="C39" s="2" t="s">
        <v>61</v>
      </c>
      <c r="D39" s="3">
        <v>46105</v>
      </c>
      <c r="E39" s="2" t="s">
        <v>79</v>
      </c>
      <c r="F39" s="3">
        <v>46165</v>
      </c>
      <c r="G39" s="2" t="s">
        <v>80</v>
      </c>
      <c r="H39" s="4">
        <v>900369941</v>
      </c>
      <c r="I39" s="2">
        <v>0</v>
      </c>
      <c r="J39" s="2" t="s">
        <v>81</v>
      </c>
      <c r="K39" s="4">
        <v>-59</v>
      </c>
      <c r="L39" s="5">
        <v>348712.84</v>
      </c>
      <c r="M39" s="2">
        <v>0</v>
      </c>
      <c r="N39" s="5">
        <v>0</v>
      </c>
    </row>
    <row r="40" spans="1:14" outlineLevel="2">
      <c r="A40" s="2" t="s">
        <v>60</v>
      </c>
      <c r="B40" s="2">
        <v>22</v>
      </c>
      <c r="C40" s="2" t="s">
        <v>61</v>
      </c>
      <c r="D40" s="3">
        <v>46106</v>
      </c>
      <c r="E40" s="2" t="s">
        <v>82</v>
      </c>
      <c r="F40" s="3">
        <v>46116</v>
      </c>
      <c r="G40" s="2" t="s">
        <v>83</v>
      </c>
      <c r="H40" s="4">
        <v>860001777</v>
      </c>
      <c r="I40" s="2">
        <v>0</v>
      </c>
      <c r="J40" s="2" t="s">
        <v>64</v>
      </c>
      <c r="K40" s="4">
        <v>-9</v>
      </c>
      <c r="L40" s="5">
        <v>45566968.299999997</v>
      </c>
      <c r="M40" s="2">
        <v>0</v>
      </c>
      <c r="N40" s="5">
        <v>0</v>
      </c>
    </row>
    <row r="41" spans="1:14" outlineLevel="2">
      <c r="A41" s="2" t="s">
        <v>60</v>
      </c>
      <c r="B41" s="2">
        <v>22</v>
      </c>
      <c r="C41" s="2" t="s">
        <v>61</v>
      </c>
      <c r="D41" s="3">
        <v>46108</v>
      </c>
      <c r="E41" s="2" t="s">
        <v>84</v>
      </c>
      <c r="F41" s="3">
        <v>46106</v>
      </c>
      <c r="G41" s="2" t="s">
        <v>85</v>
      </c>
      <c r="H41" s="4">
        <v>900457919</v>
      </c>
      <c r="I41" s="2">
        <v>0</v>
      </c>
      <c r="J41" s="2" t="s">
        <v>86</v>
      </c>
      <c r="K41" s="4">
        <v>2</v>
      </c>
      <c r="L41" s="5">
        <v>16175824.699999999</v>
      </c>
      <c r="M41" s="2">
        <v>0</v>
      </c>
      <c r="N41" s="5">
        <v>0</v>
      </c>
    </row>
    <row r="42" spans="1:14" outlineLevel="2">
      <c r="A42" s="2" t="s">
        <v>60</v>
      </c>
      <c r="B42" s="2">
        <v>22</v>
      </c>
      <c r="C42" s="2" t="s">
        <v>61</v>
      </c>
      <c r="D42" s="3">
        <v>46108</v>
      </c>
      <c r="E42" s="2" t="s">
        <v>84</v>
      </c>
      <c r="F42" s="3">
        <v>46108</v>
      </c>
      <c r="G42" s="2" t="s">
        <v>87</v>
      </c>
      <c r="H42" s="4">
        <v>900457919</v>
      </c>
      <c r="I42" s="2">
        <v>0</v>
      </c>
      <c r="J42" s="2" t="s">
        <v>86</v>
      </c>
      <c r="K42" s="4">
        <v>0</v>
      </c>
      <c r="L42" s="5">
        <v>11056950.449999999</v>
      </c>
      <c r="M42" s="2">
        <v>0</v>
      </c>
      <c r="N42" s="5">
        <v>0</v>
      </c>
    </row>
    <row r="43" spans="1:14" outlineLevel="2">
      <c r="A43" s="2" t="s">
        <v>60</v>
      </c>
      <c r="B43" s="2">
        <v>22</v>
      </c>
      <c r="C43" s="2" t="s">
        <v>61</v>
      </c>
      <c r="D43" s="3">
        <v>46108</v>
      </c>
      <c r="E43" s="2" t="s">
        <v>88</v>
      </c>
      <c r="F43" s="3">
        <v>46101</v>
      </c>
      <c r="G43" s="2" t="s">
        <v>89</v>
      </c>
      <c r="H43" s="4">
        <v>890923922</v>
      </c>
      <c r="I43" s="2">
        <v>0</v>
      </c>
      <c r="J43" s="2" t="s">
        <v>90</v>
      </c>
      <c r="K43" s="4">
        <v>7</v>
      </c>
      <c r="L43" s="5">
        <v>1178599.8</v>
      </c>
      <c r="M43" s="2">
        <v>0</v>
      </c>
      <c r="N43" s="5">
        <v>0</v>
      </c>
    </row>
    <row r="44" spans="1:14" outlineLevel="2">
      <c r="A44" s="2" t="s">
        <v>60</v>
      </c>
      <c r="B44" s="2">
        <v>22</v>
      </c>
      <c r="C44" s="2" t="s">
        <v>61</v>
      </c>
      <c r="D44" s="3">
        <v>46111</v>
      </c>
      <c r="E44" s="2" t="s">
        <v>91</v>
      </c>
      <c r="F44" s="3">
        <v>46099</v>
      </c>
      <c r="G44" s="2" t="s">
        <v>92</v>
      </c>
      <c r="H44" s="4">
        <v>860001777</v>
      </c>
      <c r="I44" s="2">
        <v>0</v>
      </c>
      <c r="J44" s="2" t="s">
        <v>64</v>
      </c>
      <c r="K44" s="4">
        <v>12</v>
      </c>
      <c r="L44" s="5">
        <v>7118877.5</v>
      </c>
      <c r="M44" s="2">
        <v>0</v>
      </c>
      <c r="N44" s="5">
        <v>0</v>
      </c>
    </row>
    <row r="45" spans="1:14" outlineLevel="2">
      <c r="A45" s="2" t="s">
        <v>60</v>
      </c>
      <c r="B45" s="2">
        <v>22</v>
      </c>
      <c r="C45" s="2" t="s">
        <v>61</v>
      </c>
      <c r="D45" s="3">
        <v>46111</v>
      </c>
      <c r="E45" s="2" t="s">
        <v>91</v>
      </c>
      <c r="F45" s="3">
        <v>46099</v>
      </c>
      <c r="G45" s="2" t="s">
        <v>93</v>
      </c>
      <c r="H45" s="4">
        <v>860001777</v>
      </c>
      <c r="I45" s="2">
        <v>0</v>
      </c>
      <c r="J45" s="2" t="s">
        <v>64</v>
      </c>
      <c r="K45" s="4">
        <v>12</v>
      </c>
      <c r="L45" s="5">
        <v>28570163.109999999</v>
      </c>
      <c r="M45" s="2">
        <v>0</v>
      </c>
      <c r="N45" s="5">
        <v>0</v>
      </c>
    </row>
    <row r="46" spans="1:14" outlineLevel="1">
      <c r="A46" s="14" t="s">
        <v>240</v>
      </c>
      <c r="L46" s="5">
        <f>SUBTOTAL(9,L32:L45)</f>
        <v>174384629.46000004</v>
      </c>
      <c r="N46" s="5">
        <f>SUBTOTAL(9,N32:N45)</f>
        <v>0</v>
      </c>
    </row>
    <row r="47" spans="1:14" outlineLevel="2">
      <c r="A47" s="2" t="s">
        <v>94</v>
      </c>
      <c r="B47" s="2">
        <v>24</v>
      </c>
      <c r="C47" s="2" t="s">
        <v>95</v>
      </c>
      <c r="D47" s="3">
        <v>46084</v>
      </c>
      <c r="E47" s="2" t="s">
        <v>96</v>
      </c>
      <c r="F47" s="3">
        <v>46038</v>
      </c>
      <c r="G47" s="2" t="s">
        <v>97</v>
      </c>
      <c r="H47" s="4">
        <v>900398299</v>
      </c>
      <c r="I47" s="2">
        <v>0</v>
      </c>
      <c r="J47" s="2" t="s">
        <v>98</v>
      </c>
      <c r="K47" s="4">
        <v>47</v>
      </c>
      <c r="L47" s="5">
        <v>14393785.449999999</v>
      </c>
      <c r="M47" s="2">
        <v>0</v>
      </c>
      <c r="N47" s="5">
        <v>0</v>
      </c>
    </row>
    <row r="48" spans="1:14" outlineLevel="2">
      <c r="A48" s="2" t="s">
        <v>94</v>
      </c>
      <c r="B48" s="2">
        <v>24</v>
      </c>
      <c r="C48" s="2" t="s">
        <v>95</v>
      </c>
      <c r="D48" s="3">
        <v>46084</v>
      </c>
      <c r="E48" s="2" t="s">
        <v>99</v>
      </c>
      <c r="F48" s="3">
        <v>46127</v>
      </c>
      <c r="G48" s="2" t="s">
        <v>100</v>
      </c>
      <c r="H48" s="4">
        <v>79421317</v>
      </c>
      <c r="I48" s="2">
        <v>0</v>
      </c>
      <c r="J48" s="2" t="s">
        <v>101</v>
      </c>
      <c r="K48" s="4">
        <v>-42</v>
      </c>
      <c r="L48" s="5">
        <v>1162726.5</v>
      </c>
      <c r="M48" s="2">
        <v>0</v>
      </c>
      <c r="N48" s="5">
        <v>0</v>
      </c>
    </row>
    <row r="49" spans="1:14" outlineLevel="2">
      <c r="A49" s="2" t="s">
        <v>94</v>
      </c>
      <c r="B49" s="2">
        <v>24</v>
      </c>
      <c r="C49" s="2" t="s">
        <v>95</v>
      </c>
      <c r="D49" s="3">
        <v>46085</v>
      </c>
      <c r="E49" s="2" t="s">
        <v>102</v>
      </c>
      <c r="F49" s="3">
        <v>46099</v>
      </c>
      <c r="G49" s="2" t="s">
        <v>103</v>
      </c>
      <c r="H49" s="4">
        <v>817000680</v>
      </c>
      <c r="I49" s="2">
        <v>0</v>
      </c>
      <c r="J49" s="2" t="s">
        <v>104</v>
      </c>
      <c r="K49" s="4">
        <v>-14</v>
      </c>
      <c r="L49" s="5">
        <v>10824330</v>
      </c>
      <c r="M49" s="2">
        <v>0</v>
      </c>
      <c r="N49" s="5">
        <v>0</v>
      </c>
    </row>
    <row r="50" spans="1:14" outlineLevel="2">
      <c r="A50" s="2" t="s">
        <v>94</v>
      </c>
      <c r="B50" s="2">
        <v>24</v>
      </c>
      <c r="C50" s="2" t="s">
        <v>95</v>
      </c>
      <c r="D50" s="3">
        <v>46086</v>
      </c>
      <c r="E50" s="2" t="s">
        <v>105</v>
      </c>
      <c r="F50" s="3">
        <v>46067</v>
      </c>
      <c r="G50" s="2" t="s">
        <v>106</v>
      </c>
      <c r="H50" s="4">
        <v>901088196</v>
      </c>
      <c r="I50" s="2">
        <v>0</v>
      </c>
      <c r="J50" s="2" t="s">
        <v>107</v>
      </c>
      <c r="K50" s="4">
        <v>21</v>
      </c>
      <c r="L50" s="5">
        <v>4165475</v>
      </c>
      <c r="M50" s="2">
        <v>0</v>
      </c>
      <c r="N50" s="5">
        <v>0</v>
      </c>
    </row>
    <row r="51" spans="1:14" outlineLevel="2">
      <c r="A51" s="2" t="s">
        <v>94</v>
      </c>
      <c r="B51" s="2">
        <v>24</v>
      </c>
      <c r="C51" s="2" t="s">
        <v>95</v>
      </c>
      <c r="D51" s="3">
        <v>46090</v>
      </c>
      <c r="E51" s="2" t="s">
        <v>108</v>
      </c>
      <c r="F51" s="3">
        <v>46072</v>
      </c>
      <c r="G51" s="2" t="s">
        <v>109</v>
      </c>
      <c r="H51" s="4">
        <v>817000809</v>
      </c>
      <c r="I51" s="2">
        <v>0</v>
      </c>
      <c r="J51" s="2" t="s">
        <v>110</v>
      </c>
      <c r="K51" s="4">
        <v>20</v>
      </c>
      <c r="L51" s="5">
        <v>1771743.4</v>
      </c>
      <c r="M51" s="2">
        <v>0</v>
      </c>
      <c r="N51" s="5">
        <v>0</v>
      </c>
    </row>
    <row r="52" spans="1:14" outlineLevel="2">
      <c r="A52" s="2" t="s">
        <v>94</v>
      </c>
      <c r="B52" s="2">
        <v>24</v>
      </c>
      <c r="C52" s="2" t="s">
        <v>95</v>
      </c>
      <c r="D52" s="3">
        <v>46090</v>
      </c>
      <c r="E52" s="2" t="s">
        <v>111</v>
      </c>
      <c r="F52" s="3">
        <v>46116</v>
      </c>
      <c r="G52" s="2" t="s">
        <v>112</v>
      </c>
      <c r="H52" s="4">
        <v>900414489</v>
      </c>
      <c r="I52" s="2">
        <v>0</v>
      </c>
      <c r="J52" s="2" t="s">
        <v>113</v>
      </c>
      <c r="K52" s="4">
        <v>-25</v>
      </c>
      <c r="L52" s="5">
        <v>1020911.71</v>
      </c>
      <c r="M52" s="2">
        <v>0</v>
      </c>
      <c r="N52" s="5">
        <v>0</v>
      </c>
    </row>
    <row r="53" spans="1:14" outlineLevel="2">
      <c r="A53" s="2" t="s">
        <v>94</v>
      </c>
      <c r="B53" s="2">
        <v>24</v>
      </c>
      <c r="C53" s="2" t="s">
        <v>95</v>
      </c>
      <c r="D53" s="3">
        <v>46087</v>
      </c>
      <c r="E53" s="2" t="s">
        <v>114</v>
      </c>
      <c r="F53" s="3">
        <v>46135</v>
      </c>
      <c r="G53" s="2" t="s">
        <v>115</v>
      </c>
      <c r="H53" s="4">
        <v>860031786</v>
      </c>
      <c r="I53" s="2">
        <v>0</v>
      </c>
      <c r="J53" s="2" t="s">
        <v>116</v>
      </c>
      <c r="K53" s="4">
        <v>-47</v>
      </c>
      <c r="L53" s="5">
        <v>2401147.7000000002</v>
      </c>
      <c r="M53" s="2">
        <v>0</v>
      </c>
      <c r="N53" s="5">
        <v>0</v>
      </c>
    </row>
    <row r="54" spans="1:14" outlineLevel="2">
      <c r="A54" s="2" t="s">
        <v>94</v>
      </c>
      <c r="B54" s="2">
        <v>24</v>
      </c>
      <c r="C54" s="2" t="s">
        <v>95</v>
      </c>
      <c r="D54" s="3">
        <v>46091</v>
      </c>
      <c r="E54" s="2" t="s">
        <v>117</v>
      </c>
      <c r="F54" s="3">
        <v>46089</v>
      </c>
      <c r="G54" s="2" t="s">
        <v>118</v>
      </c>
      <c r="H54" s="4">
        <v>901253061</v>
      </c>
      <c r="I54" s="2">
        <v>0</v>
      </c>
      <c r="J54" s="2" t="s">
        <v>119</v>
      </c>
      <c r="K54" s="4">
        <v>2</v>
      </c>
      <c r="L54" s="5">
        <v>175793.94</v>
      </c>
      <c r="M54" s="2">
        <v>0</v>
      </c>
      <c r="N54" s="5">
        <v>0</v>
      </c>
    </row>
    <row r="55" spans="1:14" outlineLevel="2">
      <c r="A55" s="2" t="s">
        <v>94</v>
      </c>
      <c r="B55" s="2">
        <v>24</v>
      </c>
      <c r="C55" s="2" t="s">
        <v>95</v>
      </c>
      <c r="D55" s="3">
        <v>46092</v>
      </c>
      <c r="E55" s="2" t="s">
        <v>120</v>
      </c>
      <c r="F55" s="3">
        <v>46113</v>
      </c>
      <c r="G55" s="2" t="s">
        <v>121</v>
      </c>
      <c r="H55" s="4">
        <v>817000680</v>
      </c>
      <c r="I55" s="2">
        <v>0</v>
      </c>
      <c r="J55" s="2" t="s">
        <v>104</v>
      </c>
      <c r="K55" s="4">
        <v>-20</v>
      </c>
      <c r="L55" s="5">
        <v>2538508</v>
      </c>
      <c r="M55" s="2">
        <v>0</v>
      </c>
      <c r="N55" s="5">
        <v>0</v>
      </c>
    </row>
    <row r="56" spans="1:14" outlineLevel="2">
      <c r="A56" s="2" t="s">
        <v>94</v>
      </c>
      <c r="B56" s="2">
        <v>24</v>
      </c>
      <c r="C56" s="2" t="s">
        <v>95</v>
      </c>
      <c r="D56" s="3">
        <v>46092</v>
      </c>
      <c r="E56" s="2" t="s">
        <v>120</v>
      </c>
      <c r="F56" s="3">
        <v>46113</v>
      </c>
      <c r="G56" s="2" t="s">
        <v>122</v>
      </c>
      <c r="H56" s="4">
        <v>817000680</v>
      </c>
      <c r="I56" s="2">
        <v>0</v>
      </c>
      <c r="J56" s="2" t="s">
        <v>104</v>
      </c>
      <c r="K56" s="4">
        <v>-20</v>
      </c>
      <c r="L56" s="5">
        <v>6607725</v>
      </c>
      <c r="M56" s="2">
        <v>0</v>
      </c>
      <c r="N56" s="5">
        <v>0</v>
      </c>
    </row>
    <row r="57" spans="1:14" outlineLevel="2">
      <c r="A57" s="2" t="s">
        <v>94</v>
      </c>
      <c r="B57" s="2">
        <v>24</v>
      </c>
      <c r="C57" s="2" t="s">
        <v>95</v>
      </c>
      <c r="D57" s="3">
        <v>46092</v>
      </c>
      <c r="E57" s="2" t="s">
        <v>123</v>
      </c>
      <c r="F57" s="3">
        <v>46083</v>
      </c>
      <c r="G57" s="2" t="s">
        <v>124</v>
      </c>
      <c r="H57" s="4">
        <v>817000809</v>
      </c>
      <c r="I57" s="2">
        <v>0</v>
      </c>
      <c r="J57" s="2" t="s">
        <v>110</v>
      </c>
      <c r="K57" s="4">
        <v>9</v>
      </c>
      <c r="L57" s="5">
        <v>9757524</v>
      </c>
      <c r="M57" s="2">
        <v>0</v>
      </c>
      <c r="N57" s="5">
        <v>0</v>
      </c>
    </row>
    <row r="58" spans="1:14" outlineLevel="2">
      <c r="A58" s="2" t="s">
        <v>94</v>
      </c>
      <c r="B58" s="2">
        <v>24</v>
      </c>
      <c r="C58" s="2" t="s">
        <v>95</v>
      </c>
      <c r="D58" s="3">
        <v>46092</v>
      </c>
      <c r="E58" s="2" t="s">
        <v>125</v>
      </c>
      <c r="F58" s="3">
        <v>46098</v>
      </c>
      <c r="G58" s="2" t="s">
        <v>126</v>
      </c>
      <c r="H58" s="4">
        <v>901493654</v>
      </c>
      <c r="I58" s="2">
        <v>0</v>
      </c>
      <c r="J58" s="2" t="s">
        <v>127</v>
      </c>
      <c r="K58" s="4">
        <v>-6</v>
      </c>
      <c r="L58" s="5">
        <v>428260.77</v>
      </c>
      <c r="M58" s="2">
        <v>0</v>
      </c>
      <c r="N58" s="5">
        <v>0</v>
      </c>
    </row>
    <row r="59" spans="1:14" outlineLevel="2">
      <c r="A59" s="2" t="s">
        <v>94</v>
      </c>
      <c r="B59" s="2">
        <v>24</v>
      </c>
      <c r="C59" s="2" t="s">
        <v>95</v>
      </c>
      <c r="D59" s="3">
        <v>46092</v>
      </c>
      <c r="E59" s="2" t="s">
        <v>128</v>
      </c>
      <c r="F59" s="3">
        <v>46084</v>
      </c>
      <c r="G59" s="2" t="s">
        <v>129</v>
      </c>
      <c r="H59" s="4">
        <v>860074358</v>
      </c>
      <c r="I59" s="2">
        <v>0</v>
      </c>
      <c r="J59" s="2" t="s">
        <v>130</v>
      </c>
      <c r="K59" s="4">
        <v>8</v>
      </c>
      <c r="L59" s="5">
        <v>1590030.4</v>
      </c>
      <c r="M59" s="2">
        <v>0</v>
      </c>
      <c r="N59" s="5">
        <v>0</v>
      </c>
    </row>
    <row r="60" spans="1:14" outlineLevel="2">
      <c r="A60" s="2" t="s">
        <v>94</v>
      </c>
      <c r="B60" s="2">
        <v>24</v>
      </c>
      <c r="C60" s="2" t="s">
        <v>95</v>
      </c>
      <c r="D60" s="3">
        <v>46094</v>
      </c>
      <c r="E60" s="2" t="s">
        <v>131</v>
      </c>
      <c r="F60" s="3">
        <v>46095</v>
      </c>
      <c r="G60" s="2" t="s">
        <v>132</v>
      </c>
      <c r="H60" s="4">
        <v>900337711</v>
      </c>
      <c r="I60" s="2">
        <v>0</v>
      </c>
      <c r="J60" s="2" t="s">
        <v>133</v>
      </c>
      <c r="K60" s="4">
        <v>-1</v>
      </c>
      <c r="L60" s="5">
        <v>20606337.5</v>
      </c>
      <c r="M60" s="2">
        <v>0</v>
      </c>
      <c r="N60" s="5">
        <v>0</v>
      </c>
    </row>
    <row r="61" spans="1:14" outlineLevel="2">
      <c r="A61" s="2" t="s">
        <v>94</v>
      </c>
      <c r="B61" s="2">
        <v>24</v>
      </c>
      <c r="C61" s="2" t="s">
        <v>95</v>
      </c>
      <c r="D61" s="3">
        <v>46105</v>
      </c>
      <c r="E61" s="2" t="s">
        <v>134</v>
      </c>
      <c r="F61" s="3">
        <v>46151</v>
      </c>
      <c r="G61" s="2" t="s">
        <v>135</v>
      </c>
      <c r="H61" s="4">
        <v>79421317</v>
      </c>
      <c r="I61" s="2">
        <v>0</v>
      </c>
      <c r="J61" s="2" t="s">
        <v>101</v>
      </c>
      <c r="K61" s="4">
        <v>-45</v>
      </c>
      <c r="L61" s="5">
        <v>417176.2</v>
      </c>
      <c r="M61" s="2">
        <v>0</v>
      </c>
      <c r="N61" s="5">
        <v>0</v>
      </c>
    </row>
    <row r="62" spans="1:14" outlineLevel="2">
      <c r="A62" s="2" t="s">
        <v>94</v>
      </c>
      <c r="B62" s="2">
        <v>24</v>
      </c>
      <c r="C62" s="2" t="s">
        <v>95</v>
      </c>
      <c r="D62" s="3">
        <v>46105</v>
      </c>
      <c r="E62" s="2" t="s">
        <v>134</v>
      </c>
      <c r="F62" s="3">
        <v>46151</v>
      </c>
      <c r="G62" s="2" t="s">
        <v>136</v>
      </c>
      <c r="H62" s="4">
        <v>79421317</v>
      </c>
      <c r="I62" s="2">
        <v>0</v>
      </c>
      <c r="J62" s="2" t="s">
        <v>101</v>
      </c>
      <c r="K62" s="4">
        <v>-45</v>
      </c>
      <c r="L62" s="5">
        <v>2334117.75</v>
      </c>
      <c r="M62" s="2">
        <v>0</v>
      </c>
      <c r="N62" s="5">
        <v>0</v>
      </c>
    </row>
    <row r="63" spans="1:14" outlineLevel="2">
      <c r="A63" s="2" t="s">
        <v>94</v>
      </c>
      <c r="B63" s="2">
        <v>24</v>
      </c>
      <c r="C63" s="2" t="s">
        <v>95</v>
      </c>
      <c r="D63" s="3">
        <v>46106</v>
      </c>
      <c r="E63" s="2" t="s">
        <v>137</v>
      </c>
      <c r="F63" s="3">
        <v>46123</v>
      </c>
      <c r="G63" s="2" t="s">
        <v>138</v>
      </c>
      <c r="H63" s="4">
        <v>817000680</v>
      </c>
      <c r="I63" s="2">
        <v>0</v>
      </c>
      <c r="J63" s="2" t="s">
        <v>104</v>
      </c>
      <c r="K63" s="4">
        <v>-16</v>
      </c>
      <c r="L63" s="5">
        <v>181202</v>
      </c>
      <c r="M63" s="2">
        <v>0</v>
      </c>
      <c r="N63" s="5">
        <v>0</v>
      </c>
    </row>
    <row r="64" spans="1:14" outlineLevel="2">
      <c r="A64" s="2" t="s">
        <v>94</v>
      </c>
      <c r="B64" s="2">
        <v>24</v>
      </c>
      <c r="C64" s="2" t="s">
        <v>95</v>
      </c>
      <c r="D64" s="3">
        <v>46106</v>
      </c>
      <c r="E64" s="2" t="s">
        <v>139</v>
      </c>
      <c r="F64" s="3">
        <v>46096</v>
      </c>
      <c r="G64" s="2" t="s">
        <v>140</v>
      </c>
      <c r="H64" s="4">
        <v>817000809</v>
      </c>
      <c r="I64" s="2">
        <v>0</v>
      </c>
      <c r="J64" s="2" t="s">
        <v>110</v>
      </c>
      <c r="K64" s="4">
        <v>10</v>
      </c>
      <c r="L64" s="5">
        <v>4577335</v>
      </c>
      <c r="M64" s="2">
        <v>0</v>
      </c>
      <c r="N64" s="5">
        <v>0</v>
      </c>
    </row>
    <row r="65" spans="1:14" outlineLevel="2">
      <c r="A65" s="2" t="s">
        <v>94</v>
      </c>
      <c r="B65" s="2">
        <v>24</v>
      </c>
      <c r="C65" s="2" t="s">
        <v>95</v>
      </c>
      <c r="D65" s="3">
        <v>46107</v>
      </c>
      <c r="E65" s="2" t="s">
        <v>141</v>
      </c>
      <c r="F65" s="3">
        <v>46084</v>
      </c>
      <c r="G65" s="2" t="s">
        <v>142</v>
      </c>
      <c r="H65" s="4">
        <v>900781118</v>
      </c>
      <c r="I65" s="2">
        <v>0</v>
      </c>
      <c r="J65" s="2" t="s">
        <v>143</v>
      </c>
      <c r="K65" s="4">
        <v>23</v>
      </c>
      <c r="L65" s="5">
        <v>563125.85</v>
      </c>
      <c r="M65" s="2">
        <v>0</v>
      </c>
      <c r="N65" s="5">
        <v>0</v>
      </c>
    </row>
    <row r="66" spans="1:14" outlineLevel="2">
      <c r="A66" s="2" t="s">
        <v>94</v>
      </c>
      <c r="B66" s="2">
        <v>24</v>
      </c>
      <c r="C66" s="2" t="s">
        <v>95</v>
      </c>
      <c r="D66" s="3">
        <v>46107</v>
      </c>
      <c r="E66" s="2" t="s">
        <v>144</v>
      </c>
      <c r="F66" s="3">
        <v>46099</v>
      </c>
      <c r="G66" s="2" t="s">
        <v>145</v>
      </c>
      <c r="H66" s="4">
        <v>901088196</v>
      </c>
      <c r="I66" s="2">
        <v>0</v>
      </c>
      <c r="J66" s="2" t="s">
        <v>107</v>
      </c>
      <c r="K66" s="4">
        <v>8</v>
      </c>
      <c r="L66" s="5">
        <v>4465975</v>
      </c>
      <c r="M66" s="2">
        <v>0</v>
      </c>
      <c r="N66" s="5">
        <v>0</v>
      </c>
    </row>
    <row r="67" spans="1:14" outlineLevel="2">
      <c r="A67" s="2" t="s">
        <v>94</v>
      </c>
      <c r="B67" s="2">
        <v>24</v>
      </c>
      <c r="C67" s="2" t="s">
        <v>95</v>
      </c>
      <c r="D67" s="3">
        <v>46108</v>
      </c>
      <c r="E67" s="2" t="s">
        <v>146</v>
      </c>
      <c r="F67" s="3">
        <v>46108</v>
      </c>
      <c r="G67" s="2" t="s">
        <v>147</v>
      </c>
      <c r="H67" s="4">
        <v>900337711</v>
      </c>
      <c r="I67" s="2">
        <v>0</v>
      </c>
      <c r="J67" s="2" t="s">
        <v>133</v>
      </c>
      <c r="K67" s="4">
        <v>0</v>
      </c>
      <c r="L67" s="5">
        <v>20738427.5</v>
      </c>
      <c r="M67" s="2">
        <v>0</v>
      </c>
      <c r="N67" s="5">
        <v>0</v>
      </c>
    </row>
    <row r="68" spans="1:14" outlineLevel="2">
      <c r="A68" s="2" t="s">
        <v>94</v>
      </c>
      <c r="B68" s="2">
        <v>24</v>
      </c>
      <c r="C68" s="2" t="s">
        <v>95</v>
      </c>
      <c r="D68" s="3">
        <v>46112</v>
      </c>
      <c r="E68" s="2" t="s">
        <v>148</v>
      </c>
      <c r="F68" s="3">
        <v>46115</v>
      </c>
      <c r="G68" s="2" t="s">
        <v>149</v>
      </c>
      <c r="H68" s="4">
        <v>830061446</v>
      </c>
      <c r="I68" s="2">
        <v>0</v>
      </c>
      <c r="J68" s="2" t="s">
        <v>150</v>
      </c>
      <c r="K68" s="4">
        <v>-2</v>
      </c>
      <c r="L68" s="5">
        <v>2359020.2999999998</v>
      </c>
      <c r="M68" s="2">
        <v>0</v>
      </c>
      <c r="N68" s="5">
        <v>0</v>
      </c>
    </row>
    <row r="69" spans="1:14" outlineLevel="1">
      <c r="A69" s="14" t="s">
        <v>241</v>
      </c>
      <c r="L69" s="5">
        <f>SUBTOTAL(9,L47:L68)</f>
        <v>113080678.97</v>
      </c>
      <c r="N69" s="5">
        <f>SUBTOTAL(9,N47:N68)</f>
        <v>0</v>
      </c>
    </row>
    <row r="70" spans="1:14" outlineLevel="2">
      <c r="A70" s="2" t="s">
        <v>151</v>
      </c>
      <c r="B70" s="2">
        <v>25</v>
      </c>
      <c r="C70" s="2" t="s">
        <v>152</v>
      </c>
      <c r="D70" s="3">
        <v>46083</v>
      </c>
      <c r="E70" s="2" t="s">
        <v>153</v>
      </c>
      <c r="F70" s="3">
        <v>46083</v>
      </c>
      <c r="G70" s="2" t="s">
        <v>154</v>
      </c>
      <c r="H70" s="4">
        <v>901268990</v>
      </c>
      <c r="I70" s="2">
        <v>0</v>
      </c>
      <c r="J70" s="2" t="s">
        <v>155</v>
      </c>
      <c r="K70" s="4">
        <v>0</v>
      </c>
      <c r="L70" s="5">
        <v>1922159.4</v>
      </c>
      <c r="M70" s="2">
        <v>0</v>
      </c>
      <c r="N70" s="5">
        <v>0</v>
      </c>
    </row>
    <row r="71" spans="1:14" outlineLevel="2">
      <c r="A71" s="2" t="s">
        <v>151</v>
      </c>
      <c r="B71" s="2">
        <v>25</v>
      </c>
      <c r="C71" s="2" t="s">
        <v>152</v>
      </c>
      <c r="D71" s="3">
        <v>46083</v>
      </c>
      <c r="E71" s="2" t="s">
        <v>153</v>
      </c>
      <c r="F71" s="3">
        <v>46084</v>
      </c>
      <c r="G71" s="2" t="s">
        <v>156</v>
      </c>
      <c r="H71" s="4">
        <v>901268990</v>
      </c>
      <c r="I71" s="2">
        <v>0</v>
      </c>
      <c r="J71" s="2" t="s">
        <v>155</v>
      </c>
      <c r="K71" s="4">
        <v>-1</v>
      </c>
      <c r="L71" s="5">
        <v>1815231.95</v>
      </c>
      <c r="M71" s="2">
        <v>0</v>
      </c>
      <c r="N71" s="5">
        <v>0</v>
      </c>
    </row>
    <row r="72" spans="1:14" outlineLevel="2">
      <c r="A72" s="2" t="s">
        <v>151</v>
      </c>
      <c r="B72" s="2">
        <v>25</v>
      </c>
      <c r="C72" s="2" t="s">
        <v>152</v>
      </c>
      <c r="D72" s="3">
        <v>46085</v>
      </c>
      <c r="E72" s="2" t="s">
        <v>157</v>
      </c>
      <c r="F72" s="3">
        <v>46038</v>
      </c>
      <c r="G72" s="2" t="s">
        <v>158</v>
      </c>
      <c r="H72" s="4">
        <v>901390015</v>
      </c>
      <c r="I72" s="2">
        <v>0</v>
      </c>
      <c r="J72" s="2" t="s">
        <v>159</v>
      </c>
      <c r="K72" s="4">
        <v>48</v>
      </c>
      <c r="L72" s="5">
        <v>19829062.489999998</v>
      </c>
      <c r="M72" s="2">
        <v>0</v>
      </c>
      <c r="N72" s="5">
        <v>0</v>
      </c>
    </row>
    <row r="73" spans="1:14" outlineLevel="2">
      <c r="A73" s="2" t="s">
        <v>151</v>
      </c>
      <c r="B73" s="2">
        <v>25</v>
      </c>
      <c r="C73" s="2" t="s">
        <v>152</v>
      </c>
      <c r="D73" s="3">
        <v>46085</v>
      </c>
      <c r="E73" s="2" t="s">
        <v>160</v>
      </c>
      <c r="F73" s="3">
        <v>46072</v>
      </c>
      <c r="G73" s="2" t="s">
        <v>161</v>
      </c>
      <c r="H73" s="4">
        <v>900013415</v>
      </c>
      <c r="I73" s="2">
        <v>0</v>
      </c>
      <c r="J73" s="2" t="s">
        <v>162</v>
      </c>
      <c r="K73" s="4">
        <v>15</v>
      </c>
      <c r="L73" s="5">
        <v>3593703.9</v>
      </c>
      <c r="M73" s="2">
        <v>0</v>
      </c>
      <c r="N73" s="5">
        <v>0</v>
      </c>
    </row>
    <row r="74" spans="1:14" outlineLevel="2">
      <c r="A74" s="2" t="s">
        <v>151</v>
      </c>
      <c r="B74" s="2">
        <v>25</v>
      </c>
      <c r="C74" s="2" t="s">
        <v>152</v>
      </c>
      <c r="D74" s="3">
        <v>46085</v>
      </c>
      <c r="E74" s="2" t="s">
        <v>160</v>
      </c>
      <c r="F74" s="3">
        <v>46080</v>
      </c>
      <c r="G74" s="2" t="s">
        <v>163</v>
      </c>
      <c r="H74" s="4">
        <v>900013415</v>
      </c>
      <c r="I74" s="2">
        <v>0</v>
      </c>
      <c r="J74" s="2" t="s">
        <v>162</v>
      </c>
      <c r="K74" s="4">
        <v>7</v>
      </c>
      <c r="L74" s="5">
        <v>19592423.100000001</v>
      </c>
      <c r="M74" s="2">
        <v>0</v>
      </c>
      <c r="N74" s="5">
        <v>0</v>
      </c>
    </row>
    <row r="75" spans="1:14" outlineLevel="2">
      <c r="A75" s="2" t="s">
        <v>151</v>
      </c>
      <c r="B75" s="2">
        <v>25</v>
      </c>
      <c r="C75" s="2" t="s">
        <v>152</v>
      </c>
      <c r="D75" s="3">
        <v>46085</v>
      </c>
      <c r="E75" s="2" t="s">
        <v>164</v>
      </c>
      <c r="F75" s="3">
        <v>46080</v>
      </c>
      <c r="G75" s="2" t="s">
        <v>163</v>
      </c>
      <c r="H75" s="4">
        <v>900013415</v>
      </c>
      <c r="I75" s="2">
        <v>0</v>
      </c>
      <c r="J75" s="2" t="s">
        <v>162</v>
      </c>
      <c r="K75" s="4">
        <v>7</v>
      </c>
      <c r="L75" s="5">
        <v>11000000</v>
      </c>
      <c r="M75" s="2">
        <v>0</v>
      </c>
      <c r="N75" s="5">
        <v>0</v>
      </c>
    </row>
    <row r="76" spans="1:14" outlineLevel="2">
      <c r="A76" s="2" t="s">
        <v>151</v>
      </c>
      <c r="B76" s="2">
        <v>25</v>
      </c>
      <c r="C76" s="2" t="s">
        <v>152</v>
      </c>
      <c r="D76" s="3">
        <v>46085</v>
      </c>
      <c r="E76" s="2" t="s">
        <v>165</v>
      </c>
      <c r="F76" s="3">
        <v>46080</v>
      </c>
      <c r="G76" s="2" t="s">
        <v>163</v>
      </c>
      <c r="H76" s="4">
        <v>900013415</v>
      </c>
      <c r="I76" s="2">
        <v>0</v>
      </c>
      <c r="J76" s="2" t="s">
        <v>162</v>
      </c>
      <c r="K76" s="4">
        <v>7</v>
      </c>
      <c r="L76" s="5">
        <v>11000000</v>
      </c>
      <c r="M76" s="2">
        <v>0</v>
      </c>
      <c r="N76" s="5">
        <v>0</v>
      </c>
    </row>
    <row r="77" spans="1:14" outlineLevel="2">
      <c r="A77" s="2" t="s">
        <v>151</v>
      </c>
      <c r="B77" s="2">
        <v>25</v>
      </c>
      <c r="C77" s="2" t="s">
        <v>152</v>
      </c>
      <c r="D77" s="3">
        <v>46086</v>
      </c>
      <c r="E77" s="2" t="s">
        <v>166</v>
      </c>
      <c r="F77" s="3">
        <v>46107</v>
      </c>
      <c r="G77" s="2" t="s">
        <v>167</v>
      </c>
      <c r="H77" s="4">
        <v>830500365</v>
      </c>
      <c r="I77" s="2">
        <v>0</v>
      </c>
      <c r="J77" s="2" t="s">
        <v>168</v>
      </c>
      <c r="K77" s="4">
        <v>-21</v>
      </c>
      <c r="L77" s="5">
        <v>6469792</v>
      </c>
      <c r="M77" s="2">
        <v>0</v>
      </c>
      <c r="N77" s="5">
        <v>0</v>
      </c>
    </row>
    <row r="78" spans="1:14" outlineLevel="2">
      <c r="A78" s="2" t="s">
        <v>151</v>
      </c>
      <c r="B78" s="2">
        <v>25</v>
      </c>
      <c r="C78" s="2" t="s">
        <v>152</v>
      </c>
      <c r="D78" s="3">
        <v>46086</v>
      </c>
      <c r="E78" s="2" t="s">
        <v>169</v>
      </c>
      <c r="F78" s="3">
        <v>46080</v>
      </c>
      <c r="G78" s="2" t="s">
        <v>163</v>
      </c>
      <c r="H78" s="4">
        <v>900013415</v>
      </c>
      <c r="I78" s="2">
        <v>0</v>
      </c>
      <c r="J78" s="2" t="s">
        <v>162</v>
      </c>
      <c r="K78" s="4">
        <v>8</v>
      </c>
      <c r="L78" s="5">
        <v>164000000</v>
      </c>
      <c r="M78" s="2">
        <v>0</v>
      </c>
      <c r="N78" s="5">
        <v>0</v>
      </c>
    </row>
    <row r="79" spans="1:14" outlineLevel="2">
      <c r="A79" s="2" t="s">
        <v>151</v>
      </c>
      <c r="B79" s="2">
        <v>25</v>
      </c>
      <c r="C79" s="2" t="s">
        <v>152</v>
      </c>
      <c r="D79" s="3">
        <v>46086</v>
      </c>
      <c r="E79" s="2" t="s">
        <v>170</v>
      </c>
      <c r="F79" s="3">
        <v>46039</v>
      </c>
      <c r="G79" s="2" t="s">
        <v>171</v>
      </c>
      <c r="H79" s="4">
        <v>900466275</v>
      </c>
      <c r="I79" s="2">
        <v>0</v>
      </c>
      <c r="J79" s="2" t="s">
        <v>172</v>
      </c>
      <c r="K79" s="4">
        <v>48</v>
      </c>
      <c r="L79" s="5">
        <v>5751674.5999999996</v>
      </c>
      <c r="M79" s="2">
        <v>0</v>
      </c>
      <c r="N79" s="5">
        <v>0</v>
      </c>
    </row>
    <row r="80" spans="1:14" outlineLevel="2">
      <c r="A80" s="2" t="s">
        <v>151</v>
      </c>
      <c r="B80" s="2">
        <v>25</v>
      </c>
      <c r="C80" s="2" t="s">
        <v>152</v>
      </c>
      <c r="D80" s="3">
        <v>46086</v>
      </c>
      <c r="E80" s="2" t="s">
        <v>170</v>
      </c>
      <c r="F80" s="3">
        <v>46046</v>
      </c>
      <c r="G80" s="2" t="s">
        <v>173</v>
      </c>
      <c r="H80" s="4">
        <v>900466275</v>
      </c>
      <c r="I80" s="2">
        <v>0</v>
      </c>
      <c r="J80" s="2" t="s">
        <v>172</v>
      </c>
      <c r="K80" s="4">
        <v>41</v>
      </c>
      <c r="L80" s="5">
        <v>7596365</v>
      </c>
      <c r="M80" s="2">
        <v>0</v>
      </c>
      <c r="N80" s="5">
        <v>0</v>
      </c>
    </row>
    <row r="81" spans="1:14" outlineLevel="2">
      <c r="A81" s="2" t="s">
        <v>151</v>
      </c>
      <c r="B81" s="2">
        <v>25</v>
      </c>
      <c r="C81" s="2" t="s">
        <v>152</v>
      </c>
      <c r="D81" s="3">
        <v>46086</v>
      </c>
      <c r="E81" s="2" t="s">
        <v>174</v>
      </c>
      <c r="F81" s="3">
        <v>46080</v>
      </c>
      <c r="G81" s="2" t="s">
        <v>163</v>
      </c>
      <c r="H81" s="4">
        <v>900013415</v>
      </c>
      <c r="I81" s="2">
        <v>0</v>
      </c>
      <c r="J81" s="2" t="s">
        <v>162</v>
      </c>
      <c r="K81" s="4">
        <v>8</v>
      </c>
      <c r="L81" s="5">
        <v>6593894.5999999996</v>
      </c>
      <c r="M81" s="2">
        <v>0</v>
      </c>
      <c r="N81" s="5">
        <v>0</v>
      </c>
    </row>
    <row r="82" spans="1:14" outlineLevel="2">
      <c r="A82" s="2" t="s">
        <v>151</v>
      </c>
      <c r="B82" s="2">
        <v>25</v>
      </c>
      <c r="C82" s="2" t="s">
        <v>152</v>
      </c>
      <c r="D82" s="3">
        <v>46086</v>
      </c>
      <c r="E82" s="2" t="s">
        <v>174</v>
      </c>
      <c r="F82" s="3">
        <v>46108</v>
      </c>
      <c r="G82" s="2" t="s">
        <v>175</v>
      </c>
      <c r="H82" s="4">
        <v>900013415</v>
      </c>
      <c r="I82" s="2">
        <v>0</v>
      </c>
      <c r="J82" s="2" t="s">
        <v>162</v>
      </c>
      <c r="K82" s="4">
        <v>-22</v>
      </c>
      <c r="L82" s="5">
        <v>406105.4</v>
      </c>
      <c r="M82" s="2">
        <v>0</v>
      </c>
      <c r="N82" s="5">
        <v>0</v>
      </c>
    </row>
    <row r="83" spans="1:14" outlineLevel="2">
      <c r="A83" s="2" t="s">
        <v>151</v>
      </c>
      <c r="B83" s="2">
        <v>25</v>
      </c>
      <c r="C83" s="2" t="s">
        <v>152</v>
      </c>
      <c r="D83" s="3">
        <v>46091</v>
      </c>
      <c r="E83" s="2" t="s">
        <v>176</v>
      </c>
      <c r="F83" s="3">
        <v>46092</v>
      </c>
      <c r="G83" s="2" t="s">
        <v>177</v>
      </c>
      <c r="H83" s="4">
        <v>901747453</v>
      </c>
      <c r="I83" s="2">
        <v>0</v>
      </c>
      <c r="J83" s="2" t="s">
        <v>178</v>
      </c>
      <c r="K83" s="4">
        <v>-1</v>
      </c>
      <c r="L83" s="5">
        <v>14300429.18</v>
      </c>
      <c r="M83" s="2">
        <v>0</v>
      </c>
      <c r="N83" s="5">
        <v>0</v>
      </c>
    </row>
    <row r="84" spans="1:14" outlineLevel="2">
      <c r="A84" s="2" t="s">
        <v>151</v>
      </c>
      <c r="B84" s="2">
        <v>25</v>
      </c>
      <c r="C84" s="2" t="s">
        <v>152</v>
      </c>
      <c r="D84" s="3">
        <v>46091</v>
      </c>
      <c r="E84" s="2" t="s">
        <v>179</v>
      </c>
      <c r="F84" s="3">
        <v>46091</v>
      </c>
      <c r="G84" s="2" t="s">
        <v>180</v>
      </c>
      <c r="H84" s="4">
        <v>901268990</v>
      </c>
      <c r="I84" s="2">
        <v>0</v>
      </c>
      <c r="J84" s="2" t="s">
        <v>155</v>
      </c>
      <c r="K84" s="4">
        <v>0</v>
      </c>
      <c r="L84" s="5">
        <v>6280213.0999999996</v>
      </c>
      <c r="M84" s="2">
        <v>0</v>
      </c>
      <c r="N84" s="5">
        <v>0</v>
      </c>
    </row>
    <row r="85" spans="1:14" outlineLevel="2">
      <c r="A85" s="2" t="s">
        <v>151</v>
      </c>
      <c r="B85" s="2">
        <v>25</v>
      </c>
      <c r="C85" s="2" t="s">
        <v>152</v>
      </c>
      <c r="D85" s="3">
        <v>46092</v>
      </c>
      <c r="E85" s="2" t="s">
        <v>181</v>
      </c>
      <c r="F85" s="3">
        <v>46094</v>
      </c>
      <c r="G85" s="2" t="s">
        <v>182</v>
      </c>
      <c r="H85" s="4">
        <v>800207932</v>
      </c>
      <c r="I85" s="2">
        <v>0</v>
      </c>
      <c r="J85" s="2" t="s">
        <v>183</v>
      </c>
      <c r="K85" s="4">
        <v>-2</v>
      </c>
      <c r="L85" s="5">
        <v>3086324.5</v>
      </c>
      <c r="M85" s="2">
        <v>0</v>
      </c>
      <c r="N85" s="5">
        <v>0</v>
      </c>
    </row>
    <row r="86" spans="1:14" outlineLevel="2">
      <c r="A86" s="2" t="s">
        <v>151</v>
      </c>
      <c r="B86" s="2">
        <v>25</v>
      </c>
      <c r="C86" s="2" t="s">
        <v>152</v>
      </c>
      <c r="D86" s="3">
        <v>46092</v>
      </c>
      <c r="E86" s="2" t="s">
        <v>184</v>
      </c>
      <c r="F86" s="3">
        <v>46099</v>
      </c>
      <c r="G86" s="2" t="s">
        <v>185</v>
      </c>
      <c r="H86" s="4">
        <v>900225474</v>
      </c>
      <c r="I86" s="2">
        <v>0</v>
      </c>
      <c r="J86" s="2" t="s">
        <v>186</v>
      </c>
      <c r="K86" s="4">
        <v>-7</v>
      </c>
      <c r="L86" s="5">
        <v>16882260</v>
      </c>
      <c r="M86" s="2">
        <v>0</v>
      </c>
      <c r="N86" s="5">
        <v>0</v>
      </c>
    </row>
    <row r="87" spans="1:14" outlineLevel="2">
      <c r="A87" s="2" t="s">
        <v>151</v>
      </c>
      <c r="B87" s="2">
        <v>25</v>
      </c>
      <c r="C87" s="2" t="s">
        <v>152</v>
      </c>
      <c r="D87" s="3">
        <v>46100</v>
      </c>
      <c r="E87" s="2" t="s">
        <v>187</v>
      </c>
      <c r="F87" s="3">
        <v>46001</v>
      </c>
      <c r="G87" s="2" t="s">
        <v>188</v>
      </c>
      <c r="H87" s="4">
        <v>901180690</v>
      </c>
      <c r="I87" s="2">
        <v>0</v>
      </c>
      <c r="J87" s="2" t="s">
        <v>189</v>
      </c>
      <c r="K87" s="4">
        <v>99</v>
      </c>
      <c r="L87" s="5">
        <v>5107296.1399999997</v>
      </c>
      <c r="M87" s="2">
        <v>0</v>
      </c>
      <c r="N87" s="5">
        <v>0</v>
      </c>
    </row>
    <row r="88" spans="1:14" outlineLevel="2">
      <c r="A88" s="2" t="s">
        <v>151</v>
      </c>
      <c r="B88" s="2">
        <v>25</v>
      </c>
      <c r="C88" s="2" t="s">
        <v>152</v>
      </c>
      <c r="D88" s="3">
        <v>46100</v>
      </c>
      <c r="E88" s="2" t="s">
        <v>190</v>
      </c>
      <c r="F88" s="3">
        <v>46047</v>
      </c>
      <c r="G88" s="2" t="s">
        <v>191</v>
      </c>
      <c r="H88" s="4">
        <v>900466275</v>
      </c>
      <c r="I88" s="2">
        <v>0</v>
      </c>
      <c r="J88" s="2" t="s">
        <v>172</v>
      </c>
      <c r="K88" s="4">
        <v>54</v>
      </c>
      <c r="L88" s="5">
        <v>2887356.5</v>
      </c>
      <c r="M88" s="2">
        <v>0</v>
      </c>
      <c r="N88" s="5">
        <v>0</v>
      </c>
    </row>
    <row r="89" spans="1:14" outlineLevel="2">
      <c r="A89" s="2" t="s">
        <v>151</v>
      </c>
      <c r="B89" s="2">
        <v>25</v>
      </c>
      <c r="C89" s="2" t="s">
        <v>152</v>
      </c>
      <c r="D89" s="3">
        <v>46100</v>
      </c>
      <c r="E89" s="2" t="s">
        <v>190</v>
      </c>
      <c r="F89" s="3">
        <v>46055</v>
      </c>
      <c r="G89" s="2" t="s">
        <v>192</v>
      </c>
      <c r="H89" s="4">
        <v>900466275</v>
      </c>
      <c r="I89" s="2">
        <v>0</v>
      </c>
      <c r="J89" s="2" t="s">
        <v>172</v>
      </c>
      <c r="K89" s="4">
        <v>47</v>
      </c>
      <c r="L89" s="5">
        <v>2974857.2</v>
      </c>
      <c r="M89" s="2">
        <v>0</v>
      </c>
      <c r="N89" s="5">
        <v>0</v>
      </c>
    </row>
    <row r="90" spans="1:14" outlineLevel="2">
      <c r="A90" s="2" t="s">
        <v>151</v>
      </c>
      <c r="B90" s="2">
        <v>25</v>
      </c>
      <c r="C90" s="2" t="s">
        <v>152</v>
      </c>
      <c r="D90" s="3">
        <v>46100</v>
      </c>
      <c r="E90" s="2" t="s">
        <v>190</v>
      </c>
      <c r="F90" s="3">
        <v>46063</v>
      </c>
      <c r="G90" s="2" t="s">
        <v>193</v>
      </c>
      <c r="H90" s="4">
        <v>900466275</v>
      </c>
      <c r="I90" s="2">
        <v>0</v>
      </c>
      <c r="J90" s="2" t="s">
        <v>172</v>
      </c>
      <c r="K90" s="4">
        <v>39</v>
      </c>
      <c r="L90" s="5">
        <v>2103791.48</v>
      </c>
      <c r="M90" s="2">
        <v>0</v>
      </c>
      <c r="N90" s="5">
        <v>0</v>
      </c>
    </row>
    <row r="91" spans="1:14" outlineLevel="2">
      <c r="A91" s="2" t="s">
        <v>151</v>
      </c>
      <c r="B91" s="2">
        <v>25</v>
      </c>
      <c r="C91" s="2" t="s">
        <v>152</v>
      </c>
      <c r="D91" s="3">
        <v>46100</v>
      </c>
      <c r="E91" s="2" t="s">
        <v>190</v>
      </c>
      <c r="F91" s="3">
        <v>46070</v>
      </c>
      <c r="G91" s="2" t="s">
        <v>194</v>
      </c>
      <c r="H91" s="4">
        <v>900466275</v>
      </c>
      <c r="I91" s="2">
        <v>0</v>
      </c>
      <c r="J91" s="2" t="s">
        <v>172</v>
      </c>
      <c r="K91" s="4">
        <v>32</v>
      </c>
      <c r="L91" s="5">
        <v>4847599.47</v>
      </c>
      <c r="M91" s="2">
        <v>0</v>
      </c>
      <c r="N91" s="5">
        <v>0</v>
      </c>
    </row>
    <row r="92" spans="1:14" outlineLevel="2">
      <c r="A92" s="2" t="s">
        <v>151</v>
      </c>
      <c r="B92" s="2">
        <v>25</v>
      </c>
      <c r="C92" s="2" t="s">
        <v>152</v>
      </c>
      <c r="D92" s="3">
        <v>46099</v>
      </c>
      <c r="E92" s="2" t="s">
        <v>195</v>
      </c>
      <c r="F92" s="3">
        <v>46092</v>
      </c>
      <c r="G92" s="2" t="s">
        <v>177</v>
      </c>
      <c r="H92" s="4">
        <v>901747453</v>
      </c>
      <c r="I92" s="2">
        <v>0</v>
      </c>
      <c r="J92" s="2" t="s">
        <v>178</v>
      </c>
      <c r="K92" s="4">
        <v>7</v>
      </c>
      <c r="L92" s="5">
        <v>1453028.82</v>
      </c>
      <c r="M92" s="2">
        <v>0</v>
      </c>
      <c r="N92" s="5">
        <v>0</v>
      </c>
    </row>
    <row r="93" spans="1:14" outlineLevel="2">
      <c r="A93" s="2" t="s">
        <v>151</v>
      </c>
      <c r="B93" s="2">
        <v>25</v>
      </c>
      <c r="C93" s="2" t="s">
        <v>152</v>
      </c>
      <c r="D93" s="3">
        <v>46099</v>
      </c>
      <c r="E93" s="2" t="s">
        <v>195</v>
      </c>
      <c r="F93" s="3">
        <v>46100</v>
      </c>
      <c r="G93" s="2" t="s">
        <v>196</v>
      </c>
      <c r="H93" s="4">
        <v>901747453</v>
      </c>
      <c r="I93" s="2">
        <v>0</v>
      </c>
      <c r="J93" s="2" t="s">
        <v>178</v>
      </c>
      <c r="K93" s="4">
        <v>-1</v>
      </c>
      <c r="L93" s="5">
        <v>15753458</v>
      </c>
      <c r="M93" s="2">
        <v>0</v>
      </c>
      <c r="N93" s="5">
        <v>0</v>
      </c>
    </row>
    <row r="94" spans="1:14" outlineLevel="2">
      <c r="A94" s="2" t="s">
        <v>151</v>
      </c>
      <c r="B94" s="2">
        <v>25</v>
      </c>
      <c r="C94" s="2" t="s">
        <v>152</v>
      </c>
      <c r="D94" s="3">
        <v>46101</v>
      </c>
      <c r="E94" s="2" t="s">
        <v>197</v>
      </c>
      <c r="F94" s="3">
        <v>46103</v>
      </c>
      <c r="G94" s="2" t="s">
        <v>198</v>
      </c>
      <c r="H94" s="4">
        <v>901268990</v>
      </c>
      <c r="I94" s="2">
        <v>0</v>
      </c>
      <c r="J94" s="2" t="s">
        <v>155</v>
      </c>
      <c r="K94" s="4">
        <v>-2</v>
      </c>
      <c r="L94" s="5">
        <v>1774206.7</v>
      </c>
      <c r="M94" s="2">
        <v>0</v>
      </c>
      <c r="N94" s="5">
        <v>0</v>
      </c>
    </row>
    <row r="95" spans="1:14" outlineLevel="2">
      <c r="A95" s="2" t="s">
        <v>151</v>
      </c>
      <c r="B95" s="2">
        <v>25</v>
      </c>
      <c r="C95" s="2" t="s">
        <v>152</v>
      </c>
      <c r="D95" s="3">
        <v>46101</v>
      </c>
      <c r="E95" s="2" t="s">
        <v>199</v>
      </c>
      <c r="F95" s="3">
        <v>46084</v>
      </c>
      <c r="G95" s="2" t="s">
        <v>200</v>
      </c>
      <c r="H95" s="4">
        <v>900866837</v>
      </c>
      <c r="I95" s="2">
        <v>0</v>
      </c>
      <c r="J95" s="2" t="s">
        <v>201</v>
      </c>
      <c r="K95" s="4">
        <v>17</v>
      </c>
      <c r="L95" s="5">
        <v>1219351.3500000001</v>
      </c>
      <c r="M95" s="2">
        <v>0</v>
      </c>
      <c r="N95" s="5">
        <v>0</v>
      </c>
    </row>
    <row r="96" spans="1:14" outlineLevel="2">
      <c r="A96" s="2" t="s">
        <v>151</v>
      </c>
      <c r="B96" s="2">
        <v>25</v>
      </c>
      <c r="C96" s="2" t="s">
        <v>152</v>
      </c>
      <c r="D96" s="3">
        <v>46101</v>
      </c>
      <c r="E96" s="2" t="s">
        <v>199</v>
      </c>
      <c r="F96" s="3">
        <v>46090</v>
      </c>
      <c r="G96" s="2" t="s">
        <v>202</v>
      </c>
      <c r="H96" s="4">
        <v>900866837</v>
      </c>
      <c r="I96" s="2">
        <v>0</v>
      </c>
      <c r="J96" s="2" t="s">
        <v>201</v>
      </c>
      <c r="K96" s="4">
        <v>11</v>
      </c>
      <c r="L96" s="5">
        <v>4467567.0199999996</v>
      </c>
      <c r="M96" s="2">
        <v>0</v>
      </c>
      <c r="N96" s="5">
        <v>0</v>
      </c>
    </row>
    <row r="97" spans="1:14" outlineLevel="2">
      <c r="A97" s="2" t="s">
        <v>151</v>
      </c>
      <c r="B97" s="2">
        <v>25</v>
      </c>
      <c r="C97" s="2" t="s">
        <v>152</v>
      </c>
      <c r="D97" s="3">
        <v>46106</v>
      </c>
      <c r="E97" s="2" t="s">
        <v>203</v>
      </c>
      <c r="F97" s="3">
        <v>46108</v>
      </c>
      <c r="G97" s="2" t="s">
        <v>175</v>
      </c>
      <c r="H97" s="4">
        <v>900013415</v>
      </c>
      <c r="I97" s="2">
        <v>0</v>
      </c>
      <c r="J97" s="2" t="s">
        <v>162</v>
      </c>
      <c r="K97" s="4">
        <v>-2</v>
      </c>
      <c r="L97" s="5">
        <v>127019094.59999999</v>
      </c>
      <c r="M97" s="2">
        <v>0</v>
      </c>
      <c r="N97" s="5">
        <v>0</v>
      </c>
    </row>
    <row r="98" spans="1:14" outlineLevel="2">
      <c r="A98" s="2" t="s">
        <v>151</v>
      </c>
      <c r="B98" s="2">
        <v>25</v>
      </c>
      <c r="C98" s="2" t="s">
        <v>152</v>
      </c>
      <c r="D98" s="3">
        <v>46111</v>
      </c>
      <c r="E98" s="2" t="s">
        <v>204</v>
      </c>
      <c r="F98" s="3">
        <v>46100</v>
      </c>
      <c r="G98" s="2" t="s">
        <v>205</v>
      </c>
      <c r="H98" s="4">
        <v>900750270</v>
      </c>
      <c r="I98" s="2">
        <v>0</v>
      </c>
      <c r="J98" s="2" t="s">
        <v>206</v>
      </c>
      <c r="K98" s="4">
        <v>11</v>
      </c>
      <c r="L98" s="5">
        <v>5329867.2</v>
      </c>
      <c r="M98" s="2">
        <v>0</v>
      </c>
      <c r="N98" s="5">
        <v>0</v>
      </c>
    </row>
    <row r="99" spans="1:14" outlineLevel="2">
      <c r="A99" s="2" t="s">
        <v>151</v>
      </c>
      <c r="B99" s="2">
        <v>25</v>
      </c>
      <c r="C99" s="2" t="s">
        <v>152</v>
      </c>
      <c r="D99" s="3">
        <v>46111</v>
      </c>
      <c r="E99" s="2" t="s">
        <v>204</v>
      </c>
      <c r="F99" s="3">
        <v>46100</v>
      </c>
      <c r="G99" s="2" t="s">
        <v>207</v>
      </c>
      <c r="H99" s="4">
        <v>900750270</v>
      </c>
      <c r="I99" s="2">
        <v>0</v>
      </c>
      <c r="J99" s="2" t="s">
        <v>206</v>
      </c>
      <c r="K99" s="4">
        <v>11</v>
      </c>
      <c r="L99" s="5">
        <v>6720882</v>
      </c>
      <c r="M99" s="2">
        <v>0</v>
      </c>
      <c r="N99" s="5">
        <v>0</v>
      </c>
    </row>
    <row r="100" spans="1:14" outlineLevel="2">
      <c r="A100" s="2" t="s">
        <v>151</v>
      </c>
      <c r="B100" s="2">
        <v>25</v>
      </c>
      <c r="C100" s="2" t="s">
        <v>152</v>
      </c>
      <c r="D100" s="3">
        <v>46112</v>
      </c>
      <c r="E100" s="2" t="s">
        <v>208</v>
      </c>
      <c r="F100" s="3">
        <v>46113</v>
      </c>
      <c r="G100" s="2" t="s">
        <v>209</v>
      </c>
      <c r="H100" s="4">
        <v>890903436</v>
      </c>
      <c r="I100" s="2">
        <v>0</v>
      </c>
      <c r="J100" s="2" t="s">
        <v>210</v>
      </c>
      <c r="K100" s="4">
        <v>0</v>
      </c>
      <c r="L100" s="5">
        <v>480986.1</v>
      </c>
      <c r="M100" s="2">
        <v>0</v>
      </c>
      <c r="N100" s="5">
        <v>0</v>
      </c>
    </row>
    <row r="101" spans="1:14" outlineLevel="1">
      <c r="A101" s="14" t="s">
        <v>242</v>
      </c>
      <c r="L101" s="5">
        <f>SUBTOTAL(9,L70:L100)</f>
        <v>482258981.80000001</v>
      </c>
      <c r="N101" s="5">
        <f>SUBTOTAL(9,N70:N100)</f>
        <v>0</v>
      </c>
    </row>
    <row r="102" spans="1:14" outlineLevel="2">
      <c r="A102" s="2" t="s">
        <v>211</v>
      </c>
      <c r="B102" s="2">
        <v>26</v>
      </c>
      <c r="C102" s="2" t="s">
        <v>212</v>
      </c>
      <c r="D102" s="3">
        <v>46087</v>
      </c>
      <c r="E102" s="2" t="s">
        <v>213</v>
      </c>
      <c r="F102" s="3">
        <v>46083</v>
      </c>
      <c r="G102" s="2" t="s">
        <v>214</v>
      </c>
      <c r="H102" s="4">
        <v>830061446</v>
      </c>
      <c r="I102" s="2">
        <v>0</v>
      </c>
      <c r="J102" s="2" t="s">
        <v>150</v>
      </c>
      <c r="K102" s="4">
        <v>4</v>
      </c>
      <c r="L102" s="5">
        <v>3222805.6</v>
      </c>
      <c r="M102" s="2">
        <v>0</v>
      </c>
      <c r="N102" s="5">
        <v>0</v>
      </c>
    </row>
    <row r="103" spans="1:14" outlineLevel="2">
      <c r="A103" s="2" t="s">
        <v>211</v>
      </c>
      <c r="B103" s="2">
        <v>26</v>
      </c>
      <c r="C103" s="2" t="s">
        <v>212</v>
      </c>
      <c r="D103" s="3">
        <v>46087</v>
      </c>
      <c r="E103" s="2" t="s">
        <v>213</v>
      </c>
      <c r="F103" s="3">
        <v>46085</v>
      </c>
      <c r="G103" s="2" t="s">
        <v>215</v>
      </c>
      <c r="H103" s="4">
        <v>830061446</v>
      </c>
      <c r="I103" s="2">
        <v>0</v>
      </c>
      <c r="J103" s="2" t="s">
        <v>150</v>
      </c>
      <c r="K103" s="4">
        <v>2</v>
      </c>
      <c r="L103" s="5">
        <v>1647436</v>
      </c>
      <c r="M103" s="2">
        <v>0</v>
      </c>
      <c r="N103" s="5">
        <v>0</v>
      </c>
    </row>
    <row r="104" spans="1:14" outlineLevel="2">
      <c r="A104" s="2" t="s">
        <v>211</v>
      </c>
      <c r="B104" s="2">
        <v>26</v>
      </c>
      <c r="C104" s="2" t="s">
        <v>212</v>
      </c>
      <c r="D104" s="3">
        <v>46087</v>
      </c>
      <c r="E104" s="2" t="s">
        <v>114</v>
      </c>
      <c r="F104" s="3">
        <v>46113</v>
      </c>
      <c r="G104" s="2" t="s">
        <v>216</v>
      </c>
      <c r="H104" s="4">
        <v>860031786</v>
      </c>
      <c r="I104" s="2">
        <v>0</v>
      </c>
      <c r="J104" s="2" t="s">
        <v>116</v>
      </c>
      <c r="K104" s="4">
        <v>-25</v>
      </c>
      <c r="L104" s="5">
        <v>3622783.8</v>
      </c>
      <c r="M104" s="2">
        <v>0</v>
      </c>
      <c r="N104" s="5">
        <v>0</v>
      </c>
    </row>
    <row r="105" spans="1:14" outlineLevel="2">
      <c r="A105" s="2" t="s">
        <v>211</v>
      </c>
      <c r="B105" s="2">
        <v>26</v>
      </c>
      <c r="C105" s="2" t="s">
        <v>212</v>
      </c>
      <c r="D105" s="3">
        <v>46087</v>
      </c>
      <c r="E105" s="2" t="s">
        <v>114</v>
      </c>
      <c r="F105" s="3">
        <v>46114</v>
      </c>
      <c r="G105" s="2" t="s">
        <v>217</v>
      </c>
      <c r="H105" s="4">
        <v>860031786</v>
      </c>
      <c r="I105" s="2">
        <v>0</v>
      </c>
      <c r="J105" s="2" t="s">
        <v>116</v>
      </c>
      <c r="K105" s="4">
        <v>-26</v>
      </c>
      <c r="L105" s="5">
        <v>4540200</v>
      </c>
      <c r="M105" s="2">
        <v>0</v>
      </c>
      <c r="N105" s="5">
        <v>0</v>
      </c>
    </row>
    <row r="106" spans="1:14" outlineLevel="2">
      <c r="A106" s="2" t="s">
        <v>211</v>
      </c>
      <c r="B106" s="2">
        <v>26</v>
      </c>
      <c r="C106" s="2" t="s">
        <v>212</v>
      </c>
      <c r="D106" s="3">
        <v>46087</v>
      </c>
      <c r="E106" s="2" t="s">
        <v>114</v>
      </c>
      <c r="F106" s="3">
        <v>46120</v>
      </c>
      <c r="G106" s="2" t="s">
        <v>218</v>
      </c>
      <c r="H106" s="4">
        <v>860031786</v>
      </c>
      <c r="I106" s="2">
        <v>0</v>
      </c>
      <c r="J106" s="2" t="s">
        <v>116</v>
      </c>
      <c r="K106" s="4">
        <v>-32</v>
      </c>
      <c r="L106" s="5">
        <v>2292072</v>
      </c>
      <c r="M106" s="2">
        <v>0</v>
      </c>
      <c r="N106" s="5">
        <v>0</v>
      </c>
    </row>
    <row r="107" spans="1:14" outlineLevel="2">
      <c r="A107" s="2" t="s">
        <v>211</v>
      </c>
      <c r="B107" s="2">
        <v>26</v>
      </c>
      <c r="C107" s="2" t="s">
        <v>212</v>
      </c>
      <c r="D107" s="3">
        <v>46087</v>
      </c>
      <c r="E107" s="2" t="s">
        <v>114</v>
      </c>
      <c r="F107" s="3">
        <v>46122</v>
      </c>
      <c r="G107" s="2" t="s">
        <v>219</v>
      </c>
      <c r="H107" s="4">
        <v>860031786</v>
      </c>
      <c r="I107" s="2">
        <v>0</v>
      </c>
      <c r="J107" s="2" t="s">
        <v>116</v>
      </c>
      <c r="K107" s="4">
        <v>-34</v>
      </c>
      <c r="L107" s="5">
        <v>3049689.2</v>
      </c>
      <c r="M107" s="2">
        <v>0</v>
      </c>
      <c r="N107" s="5">
        <v>0</v>
      </c>
    </row>
    <row r="108" spans="1:14" outlineLevel="2">
      <c r="A108" s="2" t="s">
        <v>211</v>
      </c>
      <c r="B108" s="2">
        <v>26</v>
      </c>
      <c r="C108" s="2" t="s">
        <v>212</v>
      </c>
      <c r="D108" s="3">
        <v>46087</v>
      </c>
      <c r="E108" s="2" t="s">
        <v>114</v>
      </c>
      <c r="F108" s="3">
        <v>46129</v>
      </c>
      <c r="G108" s="2" t="s">
        <v>220</v>
      </c>
      <c r="H108" s="4">
        <v>860031786</v>
      </c>
      <c r="I108" s="2">
        <v>0</v>
      </c>
      <c r="J108" s="2" t="s">
        <v>116</v>
      </c>
      <c r="K108" s="4">
        <v>-41</v>
      </c>
      <c r="L108" s="5">
        <v>9194398.8000000007</v>
      </c>
      <c r="M108" s="2">
        <v>0</v>
      </c>
      <c r="N108" s="5">
        <v>0</v>
      </c>
    </row>
    <row r="109" spans="1:14" outlineLevel="2">
      <c r="A109" s="2" t="s">
        <v>211</v>
      </c>
      <c r="B109" s="2">
        <v>26</v>
      </c>
      <c r="C109" s="2" t="s">
        <v>212</v>
      </c>
      <c r="D109" s="3">
        <v>46094</v>
      </c>
      <c r="E109" s="2" t="s">
        <v>221</v>
      </c>
      <c r="F109" s="3">
        <v>46067</v>
      </c>
      <c r="G109" s="2" t="s">
        <v>222</v>
      </c>
      <c r="H109" s="4">
        <v>900240333</v>
      </c>
      <c r="I109" s="2">
        <v>0</v>
      </c>
      <c r="J109" s="2" t="s">
        <v>223</v>
      </c>
      <c r="K109" s="4">
        <v>29</v>
      </c>
      <c r="L109" s="5">
        <v>8194318.3899999997</v>
      </c>
      <c r="M109" s="2">
        <v>0</v>
      </c>
      <c r="N109" s="5">
        <v>0</v>
      </c>
    </row>
    <row r="110" spans="1:14" outlineLevel="2">
      <c r="A110" s="2" t="s">
        <v>211</v>
      </c>
      <c r="B110" s="2">
        <v>26</v>
      </c>
      <c r="C110" s="2" t="s">
        <v>212</v>
      </c>
      <c r="D110" s="3">
        <v>46094</v>
      </c>
      <c r="E110" s="2" t="s">
        <v>221</v>
      </c>
      <c r="F110" s="3">
        <v>46069</v>
      </c>
      <c r="G110" s="2" t="s">
        <v>224</v>
      </c>
      <c r="H110" s="4">
        <v>900240333</v>
      </c>
      <c r="I110" s="2">
        <v>0</v>
      </c>
      <c r="J110" s="2" t="s">
        <v>223</v>
      </c>
      <c r="K110" s="4">
        <v>27</v>
      </c>
      <c r="L110" s="5">
        <v>1755220.25</v>
      </c>
      <c r="M110" s="2">
        <v>0</v>
      </c>
      <c r="N110" s="5">
        <v>0</v>
      </c>
    </row>
    <row r="111" spans="1:14" outlineLevel="2">
      <c r="A111" s="2" t="s">
        <v>211</v>
      </c>
      <c r="B111" s="2">
        <v>26</v>
      </c>
      <c r="C111" s="2" t="s">
        <v>212</v>
      </c>
      <c r="D111" s="3">
        <v>46094</v>
      </c>
      <c r="E111" s="2" t="s">
        <v>221</v>
      </c>
      <c r="F111" s="3">
        <v>46071</v>
      </c>
      <c r="G111" s="2" t="s">
        <v>225</v>
      </c>
      <c r="H111" s="4">
        <v>900240333</v>
      </c>
      <c r="I111" s="2">
        <v>0</v>
      </c>
      <c r="J111" s="2" t="s">
        <v>223</v>
      </c>
      <c r="K111" s="4">
        <v>25</v>
      </c>
      <c r="L111" s="5">
        <v>3763271.47</v>
      </c>
      <c r="M111" s="2">
        <v>0</v>
      </c>
      <c r="N111" s="5">
        <v>0</v>
      </c>
    </row>
    <row r="112" spans="1:14" outlineLevel="2">
      <c r="A112" s="2" t="s">
        <v>211</v>
      </c>
      <c r="B112" s="2">
        <v>26</v>
      </c>
      <c r="C112" s="2" t="s">
        <v>212</v>
      </c>
      <c r="D112" s="3">
        <v>46094</v>
      </c>
      <c r="E112" s="2" t="s">
        <v>226</v>
      </c>
      <c r="F112" s="3">
        <v>46092</v>
      </c>
      <c r="G112" s="2" t="s">
        <v>227</v>
      </c>
      <c r="H112" s="4">
        <v>830061446</v>
      </c>
      <c r="I112" s="2">
        <v>0</v>
      </c>
      <c r="J112" s="2" t="s">
        <v>150</v>
      </c>
      <c r="K112" s="4">
        <v>2</v>
      </c>
      <c r="L112" s="5">
        <v>1143453.1499999999</v>
      </c>
      <c r="M112" s="2">
        <v>0</v>
      </c>
      <c r="N112" s="5">
        <v>0</v>
      </c>
    </row>
    <row r="113" spans="1:14" outlineLevel="2">
      <c r="A113" s="2" t="s">
        <v>211</v>
      </c>
      <c r="B113" s="2">
        <v>26</v>
      </c>
      <c r="C113" s="2" t="s">
        <v>212</v>
      </c>
      <c r="D113" s="3">
        <v>46097</v>
      </c>
      <c r="E113" s="2" t="s">
        <v>228</v>
      </c>
      <c r="F113" s="3">
        <v>46095</v>
      </c>
      <c r="G113" s="2" t="s">
        <v>229</v>
      </c>
      <c r="H113" s="4">
        <v>860527917</v>
      </c>
      <c r="I113" s="2">
        <v>0</v>
      </c>
      <c r="J113" s="2" t="s">
        <v>230</v>
      </c>
      <c r="K113" s="4">
        <v>2</v>
      </c>
      <c r="L113" s="5">
        <v>1343176.8</v>
      </c>
      <c r="M113" s="2">
        <v>0</v>
      </c>
      <c r="N113" s="5">
        <v>0</v>
      </c>
    </row>
    <row r="114" spans="1:14" outlineLevel="2">
      <c r="A114" s="2" t="s">
        <v>211</v>
      </c>
      <c r="B114" s="2">
        <v>26</v>
      </c>
      <c r="C114" s="2" t="s">
        <v>212</v>
      </c>
      <c r="D114" s="3">
        <v>46100</v>
      </c>
      <c r="E114" s="2" t="s">
        <v>231</v>
      </c>
      <c r="F114" s="3">
        <v>46098</v>
      </c>
      <c r="G114" s="2" t="s">
        <v>232</v>
      </c>
      <c r="H114" s="4">
        <v>830061446</v>
      </c>
      <c r="I114" s="2">
        <v>0</v>
      </c>
      <c r="J114" s="2" t="s">
        <v>150</v>
      </c>
      <c r="K114" s="4">
        <v>2</v>
      </c>
      <c r="L114" s="5">
        <v>2928042.6</v>
      </c>
      <c r="M114" s="2">
        <v>0</v>
      </c>
      <c r="N114" s="5">
        <v>0</v>
      </c>
    </row>
    <row r="115" spans="1:14" outlineLevel="2">
      <c r="A115" s="2" t="s">
        <v>211</v>
      </c>
      <c r="B115" s="2">
        <v>26</v>
      </c>
      <c r="C115" s="2" t="s">
        <v>212</v>
      </c>
      <c r="D115" s="3">
        <v>46105</v>
      </c>
      <c r="E115" s="2" t="s">
        <v>233</v>
      </c>
      <c r="F115" s="3">
        <v>46100</v>
      </c>
      <c r="G115" s="2" t="s">
        <v>234</v>
      </c>
      <c r="H115" s="4">
        <v>900240333</v>
      </c>
      <c r="I115" s="2">
        <v>0</v>
      </c>
      <c r="J115" s="2" t="s">
        <v>223</v>
      </c>
      <c r="K115" s="4">
        <v>5</v>
      </c>
      <c r="L115" s="5">
        <v>1343373.15</v>
      </c>
      <c r="M115" s="2">
        <v>0</v>
      </c>
      <c r="N115" s="5">
        <v>0</v>
      </c>
    </row>
    <row r="116" spans="1:14" outlineLevel="2">
      <c r="A116" s="2" t="s">
        <v>211</v>
      </c>
      <c r="B116" s="2">
        <v>26</v>
      </c>
      <c r="C116" s="2" t="s">
        <v>212</v>
      </c>
      <c r="D116" s="3">
        <v>46111</v>
      </c>
      <c r="E116" s="2" t="s">
        <v>235</v>
      </c>
      <c r="F116" s="3">
        <v>46117</v>
      </c>
      <c r="G116" s="2" t="s">
        <v>236</v>
      </c>
      <c r="H116" s="4">
        <v>900240333</v>
      </c>
      <c r="I116" s="2">
        <v>0</v>
      </c>
      <c r="J116" s="2" t="s">
        <v>223</v>
      </c>
      <c r="K116" s="4">
        <v>-5</v>
      </c>
      <c r="L116" s="5">
        <v>971771.85</v>
      </c>
      <c r="M116" s="2">
        <v>0</v>
      </c>
      <c r="N116" s="5">
        <v>0</v>
      </c>
    </row>
    <row r="117" spans="1:14" outlineLevel="2">
      <c r="A117" s="2" t="s">
        <v>211</v>
      </c>
      <c r="B117" s="2">
        <v>26</v>
      </c>
      <c r="C117" s="2" t="s">
        <v>212</v>
      </c>
      <c r="D117" s="3">
        <v>46111</v>
      </c>
      <c r="E117" s="2" t="s">
        <v>235</v>
      </c>
      <c r="F117" s="3">
        <v>46121</v>
      </c>
      <c r="G117" s="2" t="s">
        <v>237</v>
      </c>
      <c r="H117" s="4">
        <v>900240333</v>
      </c>
      <c r="I117" s="2">
        <v>0</v>
      </c>
      <c r="J117" s="2" t="s">
        <v>223</v>
      </c>
      <c r="K117" s="4">
        <v>-9</v>
      </c>
      <c r="L117" s="5">
        <v>368829.22</v>
      </c>
      <c r="M117" s="2">
        <v>0</v>
      </c>
      <c r="N117" s="5">
        <v>0</v>
      </c>
    </row>
    <row r="118" spans="1:14" outlineLevel="1">
      <c r="A118" s="14" t="s">
        <v>243</v>
      </c>
      <c r="L118" s="5">
        <f>SUBTOTAL(9,L102:L117)</f>
        <v>49380842.279999994</v>
      </c>
      <c r="N118" s="5">
        <f>SUBTOTAL(9,N102:N117)</f>
        <v>0</v>
      </c>
    </row>
    <row r="119" spans="1:14">
      <c r="A119" s="14" t="s">
        <v>244</v>
      </c>
      <c r="L119" s="5">
        <f>SUBTOTAL(9,L8:L117)</f>
        <v>1066466587.2200001</v>
      </c>
      <c r="N119" s="5">
        <f>SUBTOTAL(9,N8:N117)</f>
        <v>0</v>
      </c>
    </row>
  </sheetData>
  <mergeCells count="4">
    <mergeCell ref="A5:N5"/>
    <mergeCell ref="A3:N3"/>
    <mergeCell ref="A2:N2"/>
    <mergeCell ref="A1:M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2026-04-01T14:35:46Z</dcterms:created>
  <dcterms:modified xsi:type="dcterms:W3CDTF">2026-04-01T14:36:12Z</dcterms:modified>
</cp:coreProperties>
</file>