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dor\Downloads\"/>
    </mc:Choice>
  </mc:AlternateContent>
  <bookViews>
    <workbookView xWindow="0" yWindow="0" windowWidth="28710" windowHeight="7665"/>
  </bookViews>
  <sheets>
    <sheet name="Hoja1" sheetId="1" r:id="rId1"/>
  </sheets>
  <calcPr calcId="152511"/>
</workbook>
</file>

<file path=xl/calcChain.xml><?xml version="1.0" encoding="utf-8"?>
<calcChain xmlns="http://schemas.openxmlformats.org/spreadsheetml/2006/main">
  <c r="W529" i="1" l="1"/>
  <c r="V529" i="1"/>
  <c r="T529" i="1"/>
  <c r="W526" i="1"/>
  <c r="V526" i="1"/>
  <c r="T526" i="1"/>
  <c r="W523" i="1"/>
  <c r="V523" i="1"/>
  <c r="T523" i="1"/>
  <c r="W518" i="1"/>
  <c r="V518" i="1"/>
  <c r="T518" i="1"/>
  <c r="W515" i="1"/>
  <c r="V515" i="1"/>
  <c r="T515" i="1"/>
  <c r="W512" i="1"/>
  <c r="V512" i="1"/>
  <c r="T512" i="1"/>
  <c r="W507" i="1"/>
  <c r="V507" i="1"/>
  <c r="T507" i="1"/>
  <c r="W502" i="1"/>
  <c r="V502" i="1"/>
  <c r="T502" i="1"/>
  <c r="W492" i="1"/>
  <c r="V492" i="1"/>
  <c r="T492" i="1"/>
  <c r="W488" i="1"/>
  <c r="V488" i="1"/>
  <c r="T488" i="1"/>
  <c r="W485" i="1"/>
  <c r="V485" i="1"/>
  <c r="T485" i="1"/>
  <c r="W457" i="1"/>
  <c r="V457" i="1"/>
  <c r="T457" i="1"/>
  <c r="W452" i="1"/>
  <c r="V452" i="1"/>
  <c r="T452" i="1"/>
  <c r="W442" i="1"/>
  <c r="V442" i="1"/>
  <c r="T442" i="1"/>
  <c r="W439" i="1"/>
  <c r="V439" i="1"/>
  <c r="T439" i="1"/>
  <c r="W434" i="1"/>
  <c r="V434" i="1"/>
  <c r="T434" i="1"/>
  <c r="W416" i="1"/>
  <c r="V416" i="1"/>
  <c r="T416" i="1"/>
  <c r="W401" i="1"/>
  <c r="V401" i="1"/>
  <c r="T401" i="1"/>
  <c r="W398" i="1"/>
  <c r="V398" i="1"/>
  <c r="T398" i="1"/>
  <c r="W388" i="1"/>
  <c r="V388" i="1"/>
  <c r="T388" i="1"/>
  <c r="W384" i="1"/>
  <c r="V384" i="1"/>
  <c r="T384" i="1"/>
  <c r="W313" i="1"/>
  <c r="V313" i="1"/>
  <c r="T313" i="1"/>
  <c r="W309" i="1"/>
  <c r="V309" i="1"/>
  <c r="T309" i="1"/>
  <c r="W293" i="1"/>
  <c r="V293" i="1"/>
  <c r="T293" i="1"/>
  <c r="W282" i="1"/>
  <c r="V282" i="1"/>
  <c r="T282" i="1"/>
  <c r="W279" i="1"/>
  <c r="V279" i="1"/>
  <c r="T279" i="1"/>
  <c r="W276" i="1"/>
  <c r="V276" i="1"/>
  <c r="T276" i="1"/>
  <c r="W271" i="1"/>
  <c r="V271" i="1"/>
  <c r="T271" i="1"/>
  <c r="W267" i="1"/>
  <c r="V267" i="1"/>
  <c r="T267" i="1"/>
  <c r="W238" i="1"/>
  <c r="V238" i="1"/>
  <c r="T238" i="1"/>
  <c r="W232" i="1"/>
  <c r="V232" i="1"/>
  <c r="T232" i="1"/>
  <c r="W227" i="1"/>
  <c r="V227" i="1"/>
  <c r="T227" i="1"/>
  <c r="W218" i="1"/>
  <c r="V218" i="1"/>
  <c r="T218" i="1"/>
  <c r="W211" i="1"/>
  <c r="V211" i="1"/>
  <c r="T211" i="1"/>
  <c r="W199" i="1"/>
  <c r="V199" i="1"/>
  <c r="T199" i="1"/>
  <c r="W196" i="1"/>
  <c r="V196" i="1"/>
  <c r="T196" i="1"/>
  <c r="W177" i="1"/>
  <c r="V177" i="1"/>
  <c r="T177" i="1"/>
  <c r="W174" i="1"/>
  <c r="V174" i="1"/>
  <c r="T174" i="1"/>
  <c r="W170" i="1"/>
  <c r="V170" i="1"/>
  <c r="T170" i="1"/>
  <c r="W167" i="1"/>
  <c r="V167" i="1"/>
  <c r="T167" i="1"/>
  <c r="W162" i="1"/>
  <c r="V162" i="1"/>
  <c r="T162" i="1"/>
  <c r="W159" i="1"/>
  <c r="V159" i="1"/>
  <c r="T159" i="1"/>
  <c r="W152" i="1"/>
  <c r="V152" i="1"/>
  <c r="T152" i="1"/>
  <c r="W141" i="1"/>
  <c r="V141" i="1"/>
  <c r="T141" i="1"/>
  <c r="W135" i="1"/>
  <c r="V135" i="1"/>
  <c r="T135" i="1"/>
  <c r="W127" i="1"/>
  <c r="V127" i="1"/>
  <c r="T127" i="1"/>
  <c r="W124" i="1"/>
  <c r="V124" i="1"/>
  <c r="T124" i="1"/>
  <c r="W101" i="1"/>
  <c r="V101" i="1"/>
  <c r="T101" i="1"/>
  <c r="W97" i="1"/>
  <c r="V97" i="1"/>
  <c r="T97" i="1"/>
  <c r="W90" i="1"/>
  <c r="V90" i="1"/>
  <c r="T90" i="1"/>
  <c r="W87" i="1"/>
  <c r="V87" i="1"/>
  <c r="T87" i="1"/>
  <c r="W83" i="1"/>
  <c r="V83" i="1"/>
  <c r="T83" i="1"/>
  <c r="W78" i="1"/>
  <c r="V78" i="1"/>
  <c r="T78" i="1"/>
  <c r="W74" i="1"/>
  <c r="V74" i="1"/>
  <c r="T74" i="1"/>
  <c r="W71" i="1"/>
  <c r="V71" i="1"/>
  <c r="T71" i="1"/>
  <c r="W68" i="1"/>
  <c r="V68" i="1"/>
  <c r="T68" i="1"/>
  <c r="W61" i="1"/>
  <c r="V61" i="1"/>
  <c r="T61" i="1"/>
  <c r="W31" i="1"/>
  <c r="V31" i="1"/>
  <c r="T31" i="1"/>
  <c r="W25" i="1"/>
  <c r="V25" i="1"/>
  <c r="T25" i="1"/>
  <c r="W20" i="1"/>
  <c r="V20" i="1"/>
  <c r="T20" i="1"/>
  <c r="W15" i="1"/>
  <c r="V15" i="1"/>
  <c r="T15" i="1"/>
  <c r="W12" i="1"/>
  <c r="V12" i="1"/>
  <c r="T12" i="1"/>
  <c r="W9" i="1"/>
  <c r="V9" i="1"/>
  <c r="T9" i="1"/>
  <c r="W531" i="1"/>
  <c r="W530" i="1"/>
  <c r="V530" i="1"/>
  <c r="T530" i="1"/>
  <c r="W527" i="1"/>
  <c r="V527" i="1"/>
  <c r="T527" i="1"/>
  <c r="W524" i="1"/>
  <c r="V524" i="1"/>
  <c r="T524" i="1"/>
  <c r="W519" i="1"/>
  <c r="V519" i="1"/>
  <c r="T519" i="1"/>
  <c r="W516" i="1"/>
  <c r="V516" i="1"/>
  <c r="T516" i="1"/>
  <c r="W513" i="1"/>
  <c r="V513" i="1"/>
  <c r="T513" i="1"/>
  <c r="W508" i="1"/>
  <c r="V508" i="1"/>
  <c r="T508" i="1"/>
  <c r="W503" i="1"/>
  <c r="V503" i="1"/>
  <c r="T503" i="1"/>
  <c r="W493" i="1"/>
  <c r="V493" i="1"/>
  <c r="T493" i="1"/>
  <c r="W489" i="1"/>
  <c r="V489" i="1"/>
  <c r="T489" i="1"/>
  <c r="W486" i="1"/>
  <c r="V486" i="1"/>
  <c r="T486" i="1"/>
  <c r="W458" i="1"/>
  <c r="V458" i="1"/>
  <c r="T458" i="1"/>
  <c r="W453" i="1"/>
  <c r="V453" i="1"/>
  <c r="T453" i="1"/>
  <c r="W443" i="1"/>
  <c r="V443" i="1"/>
  <c r="T443" i="1"/>
  <c r="W440" i="1"/>
  <c r="V440" i="1"/>
  <c r="T440" i="1"/>
  <c r="W435" i="1"/>
  <c r="V435" i="1"/>
  <c r="T435" i="1"/>
  <c r="W417" i="1"/>
  <c r="V417" i="1"/>
  <c r="T417" i="1"/>
  <c r="W402" i="1"/>
  <c r="V402" i="1"/>
  <c r="T402" i="1"/>
  <c r="W399" i="1"/>
  <c r="V399" i="1"/>
  <c r="T399" i="1"/>
  <c r="W389" i="1"/>
  <c r="V389" i="1"/>
  <c r="T389" i="1"/>
  <c r="W385" i="1"/>
  <c r="V385" i="1"/>
  <c r="T385" i="1"/>
  <c r="W314" i="1"/>
  <c r="V314" i="1"/>
  <c r="T314" i="1"/>
  <c r="W310" i="1"/>
  <c r="V310" i="1"/>
  <c r="T310" i="1"/>
  <c r="W294" i="1"/>
  <c r="V294" i="1"/>
  <c r="T294" i="1"/>
  <c r="W283" i="1"/>
  <c r="V283" i="1"/>
  <c r="T283" i="1"/>
  <c r="W280" i="1"/>
  <c r="V280" i="1"/>
  <c r="T280" i="1"/>
  <c r="W277" i="1"/>
  <c r="V277" i="1"/>
  <c r="T277" i="1"/>
  <c r="W272" i="1"/>
  <c r="V272" i="1"/>
  <c r="T272" i="1"/>
  <c r="W268" i="1"/>
  <c r="V268" i="1"/>
  <c r="T268" i="1"/>
  <c r="W239" i="1"/>
  <c r="V239" i="1"/>
  <c r="T239" i="1"/>
  <c r="W233" i="1"/>
  <c r="V233" i="1"/>
  <c r="T233" i="1"/>
  <c r="W228" i="1"/>
  <c r="V228" i="1"/>
  <c r="T228" i="1"/>
  <c r="W219" i="1"/>
  <c r="V219" i="1"/>
  <c r="T219" i="1"/>
  <c r="W212" i="1"/>
  <c r="V212" i="1"/>
  <c r="T212" i="1"/>
  <c r="W200" i="1"/>
  <c r="V200" i="1"/>
  <c r="T200" i="1"/>
  <c r="W197" i="1"/>
  <c r="V197" i="1"/>
  <c r="T197" i="1"/>
  <c r="W178" i="1"/>
  <c r="V178" i="1"/>
  <c r="T178" i="1"/>
  <c r="W175" i="1"/>
  <c r="V175" i="1"/>
  <c r="T175" i="1"/>
  <c r="W171" i="1"/>
  <c r="V171" i="1"/>
  <c r="T171" i="1"/>
  <c r="W168" i="1"/>
  <c r="V168" i="1"/>
  <c r="T168" i="1"/>
  <c r="W163" i="1"/>
  <c r="V163" i="1"/>
  <c r="T163" i="1"/>
  <c r="W160" i="1"/>
  <c r="V160" i="1"/>
  <c r="T160" i="1"/>
  <c r="W153" i="1"/>
  <c r="V153" i="1"/>
  <c r="T153" i="1"/>
  <c r="W142" i="1"/>
  <c r="V142" i="1"/>
  <c r="T142" i="1"/>
  <c r="W136" i="1"/>
  <c r="V136" i="1"/>
  <c r="T136" i="1"/>
  <c r="W128" i="1"/>
  <c r="V128" i="1"/>
  <c r="T128" i="1"/>
  <c r="W125" i="1"/>
  <c r="V125" i="1"/>
  <c r="T125" i="1"/>
  <c r="W102" i="1"/>
  <c r="V102" i="1"/>
  <c r="T102" i="1"/>
  <c r="W98" i="1"/>
  <c r="V98" i="1"/>
  <c r="T98" i="1"/>
  <c r="W91" i="1"/>
  <c r="V91" i="1"/>
  <c r="T91" i="1"/>
  <c r="W88" i="1"/>
  <c r="V88" i="1"/>
  <c r="T88" i="1"/>
  <c r="W84" i="1"/>
  <c r="V84" i="1"/>
  <c r="T84" i="1"/>
  <c r="W79" i="1"/>
  <c r="V79" i="1"/>
  <c r="T79" i="1"/>
  <c r="W75" i="1"/>
  <c r="V75" i="1"/>
  <c r="T75" i="1"/>
  <c r="W72" i="1"/>
  <c r="V72" i="1"/>
  <c r="T72" i="1"/>
  <c r="W69" i="1"/>
  <c r="V69" i="1"/>
  <c r="T69" i="1"/>
  <c r="W62" i="1"/>
  <c r="V62" i="1"/>
  <c r="T62" i="1"/>
  <c r="W32" i="1"/>
  <c r="V32" i="1"/>
  <c r="T32" i="1"/>
  <c r="W26" i="1"/>
  <c r="V26" i="1"/>
  <c r="T26" i="1"/>
  <c r="W21" i="1"/>
  <c r="V21" i="1"/>
  <c r="T21" i="1"/>
  <c r="W16" i="1"/>
  <c r="V16" i="1"/>
  <c r="T16" i="1"/>
  <c r="W13" i="1"/>
  <c r="V13" i="1"/>
  <c r="T13" i="1"/>
  <c r="W10" i="1"/>
  <c r="V10" i="1"/>
  <c r="T10" i="1"/>
  <c r="V531" i="1" l="1"/>
  <c r="T531" i="1"/>
</calcChain>
</file>

<file path=xl/sharedStrings.xml><?xml version="1.0" encoding="utf-8"?>
<sst xmlns="http://schemas.openxmlformats.org/spreadsheetml/2006/main" count="5316" uniqueCount="747">
  <si>
    <t xml:space="preserve">NIT                                                                           </t>
  </si>
  <si>
    <t xml:space="preserve">NIT          </t>
  </si>
  <si>
    <t xml:space="preserve">SUC   </t>
  </si>
  <si>
    <t xml:space="preserve">NOMBRE                                                      </t>
  </si>
  <si>
    <t xml:space="preserve">TELEFONO   </t>
  </si>
  <si>
    <t xml:space="preserve">DIRECCION                                                                                           </t>
  </si>
  <si>
    <t xml:space="preserve">CIUDAD                                            </t>
  </si>
  <si>
    <t xml:space="preserve">C.COSTO                    </t>
  </si>
  <si>
    <t xml:space="preserve">NOMBRE CENTRO                                     </t>
  </si>
  <si>
    <t>VENDEDOR</t>
  </si>
  <si>
    <t>COBRADOR</t>
  </si>
  <si>
    <t xml:space="preserve">                                                  </t>
  </si>
  <si>
    <t xml:space="preserve">CUENTA    </t>
  </si>
  <si>
    <t xml:space="preserve">      </t>
  </si>
  <si>
    <t xml:space="preserve">DESCRIPCION CUENTA                                </t>
  </si>
  <si>
    <t xml:space="preserve">DOCUMENTO            </t>
  </si>
  <si>
    <t xml:space="preserve">FECHA     </t>
  </si>
  <si>
    <t xml:space="preserve">VENCE     </t>
  </si>
  <si>
    <t xml:space="preserve">DIAS   </t>
  </si>
  <si>
    <t xml:space="preserve">VR. MORA       </t>
  </si>
  <si>
    <t xml:space="preserve">                </t>
  </si>
  <si>
    <t xml:space="preserve">SALDO CONTABLE  </t>
  </si>
  <si>
    <t xml:space="preserve">VENCIDO         </t>
  </si>
  <si>
    <t xml:space="preserve">SALDO VENCIDO   </t>
  </si>
  <si>
    <t xml:space="preserve">      9236914 000 MONTIEL DIAZ EMIR YAMID                                     </t>
  </si>
  <si>
    <t xml:space="preserve">MONTIEL DIAZ EMIR YAMID                                     </t>
  </si>
  <si>
    <t xml:space="preserve">CR 9 19 76                                                                                          </t>
  </si>
  <si>
    <t xml:space="preserve">VALLEDUPAR                                        </t>
  </si>
  <si>
    <t xml:space="preserve">0000                       </t>
  </si>
  <si>
    <t xml:space="preserve">0008    </t>
  </si>
  <si>
    <t xml:space="preserve">0108    </t>
  </si>
  <si>
    <t xml:space="preserve">ARANGO SILVA MARIA CAMILA                         </t>
  </si>
  <si>
    <t xml:space="preserve">13050500  </t>
  </si>
  <si>
    <t xml:space="preserve">DEUDORES NACIONALES                               </t>
  </si>
  <si>
    <t>F-010-00000001292-001</t>
  </si>
  <si>
    <t xml:space="preserve">     79532803 000 MORA GONZALEZ JUAN CARLOS                                   </t>
  </si>
  <si>
    <t xml:space="preserve">MORA GONZALEZ JUAN CARLOS                                   </t>
  </si>
  <si>
    <t xml:space="preserve">CL 160 73 47                                                                                        </t>
  </si>
  <si>
    <t xml:space="preserve">BOGOTA                                            </t>
  </si>
  <si>
    <t xml:space="preserve">0003    </t>
  </si>
  <si>
    <t xml:space="preserve">0103    </t>
  </si>
  <si>
    <t xml:space="preserve">MORA GONZALEZ JUAN CARLOS                         </t>
  </si>
  <si>
    <t>F-010-00000004171-001</t>
  </si>
  <si>
    <t xml:space="preserve">    444444526 000 FLORAROM                                                    </t>
  </si>
  <si>
    <t xml:space="preserve">FLORAROM                                                    </t>
  </si>
  <si>
    <t>CL AV 6 DE DICIEMBRE 33 13 INTERSECCION IGNACIO B EDIFICIO SASARI DIAGONAL PARADA BELLAVISTA - ECOVI</t>
  </si>
  <si>
    <t xml:space="preserve">QUITO                                             </t>
  </si>
  <si>
    <t xml:space="preserve">0124    </t>
  </si>
  <si>
    <t xml:space="preserve">CUETER NAVARRO MARIA CLAUDIA                      </t>
  </si>
  <si>
    <t>F-010-00000002127-001</t>
  </si>
  <si>
    <t xml:space="preserve">    800203984 000 SIMONIZ SA                                                  </t>
  </si>
  <si>
    <t xml:space="preserve">SIMONIZ SA                                                  </t>
  </si>
  <si>
    <t xml:space="preserve">AV TRONCAL DE OCCIDENTE 14 E Y 15 E 79 BG D4 D8 D9MILANO CENTRO INDUSTRIAL LOGISTICO                </t>
  </si>
  <si>
    <t xml:space="preserve">MOSQUERA                                          </t>
  </si>
  <si>
    <t xml:space="preserve">0025    </t>
  </si>
  <si>
    <t xml:space="preserve">0125    </t>
  </si>
  <si>
    <t xml:space="preserve">ORTEGA GUTIERREZ MARIA JULIANA                    </t>
  </si>
  <si>
    <t>F-003-00000017361-001</t>
  </si>
  <si>
    <t>MOVIDA PROX. MES</t>
  </si>
  <si>
    <t xml:space="preserve">0001    </t>
  </si>
  <si>
    <t>F-003-00000017407-001</t>
  </si>
  <si>
    <t>F-003-00000017428-001</t>
  </si>
  <si>
    <t xml:space="preserve">    800248092 000 COSMETICOS MARLIOU PARIS LTDA                               </t>
  </si>
  <si>
    <t xml:space="preserve">COSMETICOS MARLIOU PARIS LTDA                               </t>
  </si>
  <si>
    <t xml:space="preserve">CR 19 B 168 16                                                                                      </t>
  </si>
  <si>
    <t xml:space="preserve">0026    </t>
  </si>
  <si>
    <t>F-003-00000017312-001</t>
  </si>
  <si>
    <t xml:space="preserve">0024    </t>
  </si>
  <si>
    <t>F-003-00000017410-001</t>
  </si>
  <si>
    <t>F-003-00000017422-001</t>
  </si>
  <si>
    <t xml:space="preserve">    802021602 000 PRODECAR LIMITADA                                           </t>
  </si>
  <si>
    <t xml:space="preserve">PRODECAR LIMITADA                                           </t>
  </si>
  <si>
    <t xml:space="preserve">CL 39  36 70                                                                                        </t>
  </si>
  <si>
    <t xml:space="preserve">MALAMBO                                           </t>
  </si>
  <si>
    <t xml:space="preserve">0101    </t>
  </si>
  <si>
    <t xml:space="preserve">MALAGON CRUZ LEIDY MILENA                         </t>
  </si>
  <si>
    <t>F-001-00000047918-001</t>
  </si>
  <si>
    <t>F-001-00000047926-001</t>
  </si>
  <si>
    <t xml:space="preserve">0015    </t>
  </si>
  <si>
    <t>F-001-00000050018-001</t>
  </si>
  <si>
    <t>F-001-00000050365-001</t>
  </si>
  <si>
    <t xml:space="preserve">    811012461 000 PROCESOS 2000 SAS                                           </t>
  </si>
  <si>
    <t xml:space="preserve">PROCESOS 2000 SAS                                           </t>
  </si>
  <si>
    <t xml:space="preserve">KM 7 VIA BOG MED PQ IND CELTA BOD 144 A                                                             </t>
  </si>
  <si>
    <t xml:space="preserve">FUNZA                                             </t>
  </si>
  <si>
    <t xml:space="preserve">0122    </t>
  </si>
  <si>
    <t xml:space="preserve">PARDO OCHOA JULIANA                               </t>
  </si>
  <si>
    <t>F-001-00000020459-001</t>
  </si>
  <si>
    <t>F-001-00000020460-001</t>
  </si>
  <si>
    <t>F-001-00000020552-001</t>
  </si>
  <si>
    <t>F-001-00000020654-001</t>
  </si>
  <si>
    <t>F-001-00000045008-001</t>
  </si>
  <si>
    <t>F-001-00000045013-001</t>
  </si>
  <si>
    <t xml:space="preserve">0011    </t>
  </si>
  <si>
    <t>F-001-00000045106-001</t>
  </si>
  <si>
    <t>F-001-00000045197-001</t>
  </si>
  <si>
    <t>F-001-00000045201-001</t>
  </si>
  <si>
    <t>F-001-00000045275-001</t>
  </si>
  <si>
    <t>F-001-00000045346-001</t>
  </si>
  <si>
    <t>F-001-00000045607-001</t>
  </si>
  <si>
    <t>F-001-00000020352-001</t>
  </si>
  <si>
    <t>F-001-00000048490-001</t>
  </si>
  <si>
    <t>F-001-00000049026-001</t>
  </si>
  <si>
    <t>F-001-00000054448-001</t>
  </si>
  <si>
    <t>F-010-00000012205-001</t>
  </si>
  <si>
    <t>F-003-00000014249-001</t>
  </si>
  <si>
    <t xml:space="preserve">0022    </t>
  </si>
  <si>
    <t>F-003-00000015195-001</t>
  </si>
  <si>
    <t>F-003-00000015196-001</t>
  </si>
  <si>
    <t>F-003-00000015208-001</t>
  </si>
  <si>
    <t>F-003-00000015211-001</t>
  </si>
  <si>
    <t>F-003-00000015233-001</t>
  </si>
  <si>
    <t>F-003-00000015330-001</t>
  </si>
  <si>
    <t>F-003-00000015355-001</t>
  </si>
  <si>
    <t>F-003-00000015413-001</t>
  </si>
  <si>
    <t>F-003-00000015414-001</t>
  </si>
  <si>
    <t>R-001-00000022821-001</t>
  </si>
  <si>
    <t xml:space="preserve">    817000680 000 FAMILIA DEL PACIFICO SAS                                    </t>
  </si>
  <si>
    <t xml:space="preserve">FAMILIA DEL PACIFICO SAS                                    </t>
  </si>
  <si>
    <t xml:space="preserve">ZF PERMANENTE DEL CAUCA PAR INDUSTRIAL Y CIAL DEL GUACHENE                                          </t>
  </si>
  <si>
    <t xml:space="preserve">GUACHENE                                          </t>
  </si>
  <si>
    <t>F-003-00000017443-001</t>
  </si>
  <si>
    <t>F-003-00000017444-001</t>
  </si>
  <si>
    <t>F-003-00000017445-001</t>
  </si>
  <si>
    <t>F-003-00000017486-001</t>
  </si>
  <si>
    <t>F-003-00000017523-001</t>
  </si>
  <si>
    <t xml:space="preserve">    817000809 000 INDUSTRIAS PATOJITO SAS                                     </t>
  </si>
  <si>
    <t xml:space="preserve">INDUSTRIAS PATOJITO SAS                                     </t>
  </si>
  <si>
    <t xml:space="preserve">PAR INDUSTRIAL EL PARAISO BG 10 MZ C              SANTANDER DE QUILICHAO                            </t>
  </si>
  <si>
    <t xml:space="preserve">SANTANDER DE QUILICHAO                            </t>
  </si>
  <si>
    <t>F-003-00000017471-001</t>
  </si>
  <si>
    <t xml:space="preserve">    830054444 000 PRODUCCION Y GESTION SAS                                    </t>
  </si>
  <si>
    <t xml:space="preserve">PRODUCCION Y GESTION SAS                                    </t>
  </si>
  <si>
    <t xml:space="preserve">KM 7 AUT MELDELLIN CELTA TRADE PARK LT 21                                                           </t>
  </si>
  <si>
    <t>F-003-00000017432-001</t>
  </si>
  <si>
    <t xml:space="preserve">    830057664 000 MARCHEN SA EN REORGANIZACION                                </t>
  </si>
  <si>
    <t xml:space="preserve">MARCHEN SA EN REORGANIZACION                                </t>
  </si>
  <si>
    <t xml:space="preserve">CL 45 A SUR 61 07                                                                                   </t>
  </si>
  <si>
    <t xml:space="preserve">0118    </t>
  </si>
  <si>
    <t xml:space="preserve">CASTAÑO AGUDELO MONICA JANETH                     </t>
  </si>
  <si>
    <t>F-010-00000002501-001</t>
  </si>
  <si>
    <t xml:space="preserve">0018    </t>
  </si>
  <si>
    <t>F-010-00000002625-001</t>
  </si>
  <si>
    <t xml:space="preserve">    830061446 000 CONSTELACION INDUSTRIAL DEL ASEO S.A.S                      </t>
  </si>
  <si>
    <t xml:space="preserve">CONSTELACION INDUSTRIAL DEL ASEO S.A.S                      </t>
  </si>
  <si>
    <t xml:space="preserve">CR 59 5 A 77                                                                                        </t>
  </si>
  <si>
    <t>F-003-00000017473-001</t>
  </si>
  <si>
    <t>F-003-00000017505-001</t>
  </si>
  <si>
    <t>F-003-00000017532-001</t>
  </si>
  <si>
    <t xml:space="preserve">    830071113 000 COSMETIC FASHION CORPORATION S.A.                           </t>
  </si>
  <si>
    <t xml:space="preserve">COSMETIC FASHION CORPORATION S.A.                           </t>
  </si>
  <si>
    <t xml:space="preserve">KM 3 5 VIA FUNZA - SIBERIA                        PARQUE INDUSTRIAL GALICIA BG 2 3 4 Y 5 MZ D       </t>
  </si>
  <si>
    <t>F-003-00000017310-001</t>
  </si>
  <si>
    <t>F-003-00000017419-001</t>
  </si>
  <si>
    <t xml:space="preserve">    830500365 000 QUIMICOLOR SAS                                              </t>
  </si>
  <si>
    <t xml:space="preserve">QUIMICOLOR SAS                                              </t>
  </si>
  <si>
    <t xml:space="preserve">CL 57 SUR   54E  25                                                                                 </t>
  </si>
  <si>
    <t xml:space="preserve">MEDELLIN                                          </t>
  </si>
  <si>
    <t>F-003-00000017512-001</t>
  </si>
  <si>
    <t xml:space="preserve">    830506179 000 QUIMICA ORION SA                                            </t>
  </si>
  <si>
    <t xml:space="preserve">QUIMICA ORION SA                                            </t>
  </si>
  <si>
    <t xml:space="preserve">CL 98 SUR  48  190                                                                                  </t>
  </si>
  <si>
    <t xml:space="preserve">LA ESTRELLA                                       </t>
  </si>
  <si>
    <t>F-003-00000017338-001</t>
  </si>
  <si>
    <t>F-003-00000017356-001</t>
  </si>
  <si>
    <t>F-003-00000017433-001</t>
  </si>
  <si>
    <t>F-003-00000017491-001</t>
  </si>
  <si>
    <t>F-003-00000017507-001</t>
  </si>
  <si>
    <t xml:space="preserve">    860000135 000 AZUL K S A S                                                </t>
  </si>
  <si>
    <t xml:space="preserve">AZUL K S A S                                                </t>
  </si>
  <si>
    <t xml:space="preserve">AUT SUR 60 51                                                                                       </t>
  </si>
  <si>
    <t>F-003-00000017454-001</t>
  </si>
  <si>
    <t>F-003-00000017490-001</t>
  </si>
  <si>
    <t xml:space="preserve">    860001777 000 INDUSTRIAS INCA SAS                                         </t>
  </si>
  <si>
    <t xml:space="preserve">INDUSTRIAS INCA SAS                                         </t>
  </si>
  <si>
    <t xml:space="preserve">AUT MEDELLIN KM 7 5 IND CELTA BG 84 85                                                              </t>
  </si>
  <si>
    <t>F-003-00000017258-001</t>
  </si>
  <si>
    <t>F-003-00000017273-001</t>
  </si>
  <si>
    <t>F-003-00000017274-001</t>
  </si>
  <si>
    <t>F-003-00000017276-001</t>
  </si>
  <si>
    <t>F-003-00000017283-001</t>
  </si>
  <si>
    <t>F-003-00000017285-001</t>
  </si>
  <si>
    <t>F-003-00000017296-001</t>
  </si>
  <si>
    <t>F-003-00000017297-001</t>
  </si>
  <si>
    <t>F-003-00000017330-001</t>
  </si>
  <si>
    <t>F-003-00000017331-001</t>
  </si>
  <si>
    <t>F-003-00000017355-001</t>
  </si>
  <si>
    <t>F-003-00000017413-001</t>
  </si>
  <si>
    <t>F-003-00000017414-001</t>
  </si>
  <si>
    <t>F-003-00000017426-001</t>
  </si>
  <si>
    <t>F-003-00000017427-001</t>
  </si>
  <si>
    <t>F-003-00000017466-001</t>
  </si>
  <si>
    <t>F-003-00000017468-001</t>
  </si>
  <si>
    <t>F-003-00000017483-001</t>
  </si>
  <si>
    <t>F-003-00000017484-001</t>
  </si>
  <si>
    <t>F-003-00000017485-001</t>
  </si>
  <si>
    <t>F-003-00000017496-001</t>
  </si>
  <si>
    <t xml:space="preserve">    860002274 000 ETERNA S A                                                  </t>
  </si>
  <si>
    <t xml:space="preserve">ETERNA S A                                                  </t>
  </si>
  <si>
    <t xml:space="preserve">AC 26 57 83 ED T 7 OF 502                                                                           </t>
  </si>
  <si>
    <t>F-003-00000017423-001</t>
  </si>
  <si>
    <t xml:space="preserve">    860031786 000 FULLER PINTO SA                                             </t>
  </si>
  <si>
    <t xml:space="preserve">FULLER PINTO SA                                             </t>
  </si>
  <si>
    <t xml:space="preserve">CL 12 B 68 B 25                                   ZONA INDUSTRIAL                                   </t>
  </si>
  <si>
    <t>F-003-00000017452-001</t>
  </si>
  <si>
    <t>F-003-00000017465-001</t>
  </si>
  <si>
    <t>F-003-00000017472-001</t>
  </si>
  <si>
    <t>F-003-00000017477-001</t>
  </si>
  <si>
    <t>F-003-00000017492-001</t>
  </si>
  <si>
    <t>F-003-00000017516-001</t>
  </si>
  <si>
    <t xml:space="preserve">    860049740 000 JEAN PASCAL S A S                                           </t>
  </si>
  <si>
    <t xml:space="preserve">JEAN PASCAL S A S                                           </t>
  </si>
  <si>
    <t xml:space="preserve">CRA 23 73 27                                                                                        </t>
  </si>
  <si>
    <t>F-003-00000017007-001</t>
  </si>
  <si>
    <t>F-003-00000017032-001</t>
  </si>
  <si>
    <t>F-003-00000017153-001</t>
  </si>
  <si>
    <t>F-003-00000017300-001</t>
  </si>
  <si>
    <t xml:space="preserve">    860525726 000 INDULATEX S A EN REESTRUCTURACION                           </t>
  </si>
  <si>
    <t xml:space="preserve">INDULATEX S A EN REESTRUCTURACION                           </t>
  </si>
  <si>
    <t xml:space="preserve">AV 9 25 A 64 68                                                                                     </t>
  </si>
  <si>
    <t>F-001-00000046528-001</t>
  </si>
  <si>
    <t>F-001-00000046526-001</t>
  </si>
  <si>
    <t>F-001-00000046872-001</t>
  </si>
  <si>
    <t>F-001-00000047136-001</t>
  </si>
  <si>
    <t>F-001-00000047526-001</t>
  </si>
  <si>
    <t>F-001-00000047599-001</t>
  </si>
  <si>
    <t>F-001-00000047760-001</t>
  </si>
  <si>
    <t>F-010-00000010217-001</t>
  </si>
  <si>
    <t xml:space="preserve">0020    </t>
  </si>
  <si>
    <t>F-010-00000010274-001</t>
  </si>
  <si>
    <t xml:space="preserve">    890923922 000 EMPRESA DE COSMETICOS Y SERVICIOS SA                        </t>
  </si>
  <si>
    <t xml:space="preserve">EMPRESA DE COSMETICOS Y SERVICIOS SA                        </t>
  </si>
  <si>
    <t xml:space="preserve">CL 73 A 44 82                                                                                       </t>
  </si>
  <si>
    <t xml:space="preserve">ITAGUI                                            </t>
  </si>
  <si>
    <t>L-030-00000002050-001</t>
  </si>
  <si>
    <t>F-003-00000017313-001</t>
  </si>
  <si>
    <t>F-003-00000017314-001</t>
  </si>
  <si>
    <t>F-003-00000017435-001</t>
  </si>
  <si>
    <t>F-003-00000017506-001</t>
  </si>
  <si>
    <t xml:space="preserve">    900013415 000 COMERCIALIZADORA INTERNACIONAL CARBONES ANDINOS DE AMERICA S</t>
  </si>
  <si>
    <t>COMERCIALIZADORA INTERNACIONAL CARBONES ANDINOS DE AMERICA S</t>
  </si>
  <si>
    <t xml:space="preserve">KLDX 51 1 VDA CAMILANDIA VIA EL ZULIA             ZULIA                                             </t>
  </si>
  <si>
    <t xml:space="preserve">EL ZULIA                                          </t>
  </si>
  <si>
    <t>R-001-00000023165-001</t>
  </si>
  <si>
    <t xml:space="preserve">    900015899 000 ESSENSALE SOCIEDAD POR ACCIONES SIMPLIFICADAS               </t>
  </si>
  <si>
    <t xml:space="preserve">ESSENSALE SOCIEDAD POR ACCIONES SIMPLIFICADAS               </t>
  </si>
  <si>
    <t xml:space="preserve">CL 41 6 16 B 8                                    VALLE DEL CAUCA                                   </t>
  </si>
  <si>
    <t xml:space="preserve">CALI                                              </t>
  </si>
  <si>
    <t>F-003-00000017429-001</t>
  </si>
  <si>
    <t>F-003-00000017499-001</t>
  </si>
  <si>
    <t>F-003-00000017529-001</t>
  </si>
  <si>
    <t xml:space="preserve">    900073226 000 PROSIGNA SAS                                                </t>
  </si>
  <si>
    <t xml:space="preserve">PROSIGNA SAS                                                </t>
  </si>
  <si>
    <t xml:space="preserve">ZF DE BARRANQUILLA AV HAMBURGO BG R               ATLANTICO                                         </t>
  </si>
  <si>
    <t xml:space="preserve">BARRANQUILLA                                      </t>
  </si>
  <si>
    <t xml:space="preserve">0017    </t>
  </si>
  <si>
    <t xml:space="preserve">0117    </t>
  </si>
  <si>
    <t xml:space="preserve">CASTRO LESMES JUAN SEBASTIAN                      </t>
  </si>
  <si>
    <t>F-010-00000000289-001</t>
  </si>
  <si>
    <t xml:space="preserve">    900117244 000 ARINTIA GROUP SAS                                           </t>
  </si>
  <si>
    <t xml:space="preserve">ARINTIA GROUP SAS                                           </t>
  </si>
  <si>
    <t xml:space="preserve">CR 18A 143 73                                     ANTIOQUIA                                         </t>
  </si>
  <si>
    <t>F-003-00000013654-001</t>
  </si>
  <si>
    <t>R-001-00000020800-001</t>
  </si>
  <si>
    <t xml:space="preserve">    900142501 000 LUCAFER SAS                                                 </t>
  </si>
  <si>
    <t xml:space="preserve">LUCAFER SAS                                                 </t>
  </si>
  <si>
    <t xml:space="preserve">CL 2 26 77                                        ATLANTICO                                         </t>
  </si>
  <si>
    <t xml:space="preserve">PUERTO COLOMBIA                                   </t>
  </si>
  <si>
    <t xml:space="preserve">0023    </t>
  </si>
  <si>
    <t xml:space="preserve">0123    </t>
  </si>
  <si>
    <t xml:space="preserve">QUINTERO TAPIAS MARIA CAMILA                      </t>
  </si>
  <si>
    <t>F-003-00000017050-001</t>
  </si>
  <si>
    <t xml:space="preserve">    900225474 000 SCALPI COSMETICA SA                                         </t>
  </si>
  <si>
    <t xml:space="preserve">SCALPI COSMETICA SA                                         </t>
  </si>
  <si>
    <t xml:space="preserve">ZF PERMANENTE INTEXZONA BG 21 A SEC VIA SIBERIA   FUNZA KM 1                                        </t>
  </si>
  <si>
    <t xml:space="preserve">COTA                                              </t>
  </si>
  <si>
    <t>F-003-00000017067-001</t>
  </si>
  <si>
    <t>F-003-00000017148-001</t>
  </si>
  <si>
    <t>F-003-00000017211-001</t>
  </si>
  <si>
    <t>F-003-00000017246-001</t>
  </si>
  <si>
    <t>F-003-00000017261-001</t>
  </si>
  <si>
    <t>F-003-00000017263-001</t>
  </si>
  <si>
    <t>F-003-00000017304-001</t>
  </si>
  <si>
    <t>F-003-00000017305-001</t>
  </si>
  <si>
    <t>F-003-00000017306-001</t>
  </si>
  <si>
    <t>F-003-00000017349-001</t>
  </si>
  <si>
    <t>F-003-00000017350-001</t>
  </si>
  <si>
    <t>F-003-00000017366-001</t>
  </si>
  <si>
    <t>F-003-00000017386-001</t>
  </si>
  <si>
    <t>F-003-00000017387-001</t>
  </si>
  <si>
    <t>F-003-00000017388-001</t>
  </si>
  <si>
    <t>F-003-00000017389-001</t>
  </si>
  <si>
    <t>F-003-00000017457-001</t>
  </si>
  <si>
    <t xml:space="preserve">    900229913 000 FLOW CHEM SAS                                               </t>
  </si>
  <si>
    <t xml:space="preserve">FLOW CHEM SAS                                               </t>
  </si>
  <si>
    <t xml:space="preserve">CR 51B 12 SUR 65                                                                                    </t>
  </si>
  <si>
    <t>F-003-00000017438-001</t>
  </si>
  <si>
    <t xml:space="preserve">    900240333 000 TRADE PASSING S A S                                         </t>
  </si>
  <si>
    <t xml:space="preserve">TRADE PASSING S A S                                         </t>
  </si>
  <si>
    <t xml:space="preserve">CR 19 84 17 OF 401                                EDIFICIO SAN FERNANDO                             </t>
  </si>
  <si>
    <t>F-010-00000011494-001</t>
  </si>
  <si>
    <t>F-010-00000012986-001</t>
  </si>
  <si>
    <t>F-003-00000014724-001</t>
  </si>
  <si>
    <t>F-003-00000014729-001</t>
  </si>
  <si>
    <t>F-003-00000017352-001</t>
  </si>
  <si>
    <t>F-003-00000017373-001</t>
  </si>
  <si>
    <t>F-003-00000017392-001</t>
  </si>
  <si>
    <t>F-003-00000017408-001</t>
  </si>
  <si>
    <t>F-003-00000017487-001</t>
  </si>
  <si>
    <t>F-003-00000017524-001</t>
  </si>
  <si>
    <t xml:space="preserve">    900265795 000 PERFUMES Y ESENCIAS FRAICHE SAS                             </t>
  </si>
  <si>
    <t xml:space="preserve">PERFUMES Y ESENCIAS FRAICHE SAS                             </t>
  </si>
  <si>
    <t xml:space="preserve">CL 36 SUR 43 40                                                                                     </t>
  </si>
  <si>
    <t>F-003-00000017315-001</t>
  </si>
  <si>
    <t>F-003-00000017416-001</t>
  </si>
  <si>
    <t>F-003-00000017431-001</t>
  </si>
  <si>
    <t>F-003-00000017469-001</t>
  </si>
  <si>
    <t>F-003-00000017480-001</t>
  </si>
  <si>
    <t xml:space="preserve">    900307659 000 SENSOCODE SAS                                               </t>
  </si>
  <si>
    <t xml:space="preserve">SENSOCODE SAS                                               </t>
  </si>
  <si>
    <t xml:space="preserve">CR 15 88 64 OF 222                                                                                  </t>
  </si>
  <si>
    <t>F-003-00000017272-001</t>
  </si>
  <si>
    <t>F-003-00000017286-001</t>
  </si>
  <si>
    <t>F-003-00000017287-001</t>
  </si>
  <si>
    <t>F-003-00000017377-001</t>
  </si>
  <si>
    <t>F-003-00000017400-001</t>
  </si>
  <si>
    <t>F-003-00000017501-001</t>
  </si>
  <si>
    <t>F-003-00000017502-001</t>
  </si>
  <si>
    <t xml:space="preserve">    900324176 000 CARIBEAN ECO SOAPS USUARIO INDUSTRIAL DE BIENES Y SERVICIOS </t>
  </si>
  <si>
    <t xml:space="preserve">CARIBEAN ECO SOAPS USUARIO INDUSTRIAL DE BIENES Y SERVICIOS </t>
  </si>
  <si>
    <t xml:space="preserve">KM 16 VIA ALTERNA AL PUERTO RUTA AL SOL II                                                          </t>
  </si>
  <si>
    <t xml:space="preserve">SANTA MARTA                                       </t>
  </si>
  <si>
    <t>F-003-00000017282-001</t>
  </si>
  <si>
    <t>F-003-00000017402-001</t>
  </si>
  <si>
    <t>F-003-00000017510-001</t>
  </si>
  <si>
    <t xml:space="preserve">    900337711 000 TROPICAL DE COLOMBIA SAS                                    </t>
  </si>
  <si>
    <t xml:space="preserve">TROPICAL DE COLOMBIA SAS                                    </t>
  </si>
  <si>
    <t xml:space="preserve">KM  2.5 AU MEDELLIN PORTOS SABANA 80              BODEGA 26                                         </t>
  </si>
  <si>
    <t>F-003-00000017329-001</t>
  </si>
  <si>
    <t>F-003-00000017441-001</t>
  </si>
  <si>
    <t>F-003-00000017482-001</t>
  </si>
  <si>
    <t>F-003-00000017488-001</t>
  </si>
  <si>
    <t xml:space="preserve">    900369941 000 LABORATORIOS DOMECO SAS                                     </t>
  </si>
  <si>
    <t xml:space="preserve">LABORATORIOS DOMECO SAS                                     </t>
  </si>
  <si>
    <t xml:space="preserve">CR 43 A 61 SUR 152 IN 197                                                                           </t>
  </si>
  <si>
    <t xml:space="preserve">SABANETA                                          </t>
  </si>
  <si>
    <t>F-003-00000016540-001</t>
  </si>
  <si>
    <t>F-003-00000016541-001</t>
  </si>
  <si>
    <t>F-003-00000016576-001</t>
  </si>
  <si>
    <t>F-003-00000016612-001</t>
  </si>
  <si>
    <t>F-003-00000016613-001</t>
  </si>
  <si>
    <t>F-003-00000016614-001</t>
  </si>
  <si>
    <t>F-003-00000016652-001</t>
  </si>
  <si>
    <t>F-003-00000016653-001</t>
  </si>
  <si>
    <t>F-003-00000016667-001</t>
  </si>
  <si>
    <t>F-003-00000016668-001</t>
  </si>
  <si>
    <t>F-003-00000016690-001</t>
  </si>
  <si>
    <t>F-003-00000016691-001</t>
  </si>
  <si>
    <t>F-003-00000016692-001</t>
  </si>
  <si>
    <t>F-003-00000016693-001</t>
  </si>
  <si>
    <t>F-003-00000016808-001</t>
  </si>
  <si>
    <t>F-003-00000016809-001</t>
  </si>
  <si>
    <t>F-003-00000016810-001</t>
  </si>
  <si>
    <t>F-003-00000016842-001</t>
  </si>
  <si>
    <t>F-003-00000016852-001</t>
  </si>
  <si>
    <t>F-003-00000016869-001</t>
  </si>
  <si>
    <t>F-003-00000016870-001</t>
  </si>
  <si>
    <t>F-003-00000016893-001</t>
  </si>
  <si>
    <t>F-003-00000016894-001</t>
  </si>
  <si>
    <t>F-003-00000016895-001</t>
  </si>
  <si>
    <t>R-001-00000022954-001</t>
  </si>
  <si>
    <t>F-003-00000017206-001</t>
  </si>
  <si>
    <t>R-001-00000023069-001</t>
  </si>
  <si>
    <t xml:space="preserve">    900388839 000 HADA INTERNATIONAL S.A.S.                                   </t>
  </si>
  <si>
    <t xml:space="preserve">HADA INTERNATIONAL S.A.S.                                   </t>
  </si>
  <si>
    <t xml:space="preserve">ZF LA CAYENA KM 8 LT 7 MZ B                                                                         </t>
  </si>
  <si>
    <t>F-003-00000017421-001</t>
  </si>
  <si>
    <t>F-003-00000017515-001</t>
  </si>
  <si>
    <t xml:space="preserve">    900398299 000 COMERCIALIZAMOS CE SAS                                      </t>
  </si>
  <si>
    <t xml:space="preserve">COMERCIALIZAMOS CE SAS                                      </t>
  </si>
  <si>
    <t xml:space="preserve">CL 30 13 85                                                                                         </t>
  </si>
  <si>
    <t xml:space="preserve">SINCELEJO                                         </t>
  </si>
  <si>
    <t>F-003-00000017442-001</t>
  </si>
  <si>
    <t>F-003-00000017479-001</t>
  </si>
  <si>
    <t>F-003-00000017521-001</t>
  </si>
  <si>
    <t xml:space="preserve">    900411753 000 LAS DELICIAS LIMPIADOR DESINFECTANTES SAS                   </t>
  </si>
  <si>
    <t xml:space="preserve">LAS DELICIAS LIMPIADOR DESINFECTANTES SAS                   </t>
  </si>
  <si>
    <t xml:space="preserve">CL 41  A  61 96                                   BRR PRADO CAMPESTRE                               </t>
  </si>
  <si>
    <t xml:space="preserve">BARRANCABERMEJA                                   </t>
  </si>
  <si>
    <t>F-003-00000017439-001</t>
  </si>
  <si>
    <t xml:space="preserve">    900414489 000 SOL FRAGANCE SAS                                            </t>
  </si>
  <si>
    <t xml:space="preserve">SOL FRAGANCE SAS                                            </t>
  </si>
  <si>
    <t xml:space="preserve">CR 116 C 23 41                                                                                      </t>
  </si>
  <si>
    <t>F-003-00000017380-001</t>
  </si>
  <si>
    <t xml:space="preserve">    900417990 000 WA S.A.S                                                    </t>
  </si>
  <si>
    <t xml:space="preserve">WA S.A.S                                                    </t>
  </si>
  <si>
    <t xml:space="preserve">VDA CANAVITA LT SAN ANDRES                                                                          </t>
  </si>
  <si>
    <t xml:space="preserve">0014    </t>
  </si>
  <si>
    <t xml:space="preserve">0115    </t>
  </si>
  <si>
    <t xml:space="preserve">MORALES BUSTOS ANDRES SAIN                        </t>
  </si>
  <si>
    <t>F-001-00000045272-001</t>
  </si>
  <si>
    <t>F-001-00000045343-001</t>
  </si>
  <si>
    <t>F-001-00000045384-001</t>
  </si>
  <si>
    <t>F-001-00000045414-001</t>
  </si>
  <si>
    <t>F-001-00000045536-001</t>
  </si>
  <si>
    <t>F-001-00000045697-001</t>
  </si>
  <si>
    <t>F-001-00000045850-001</t>
  </si>
  <si>
    <t>F-001-00000045870-001</t>
  </si>
  <si>
    <t>F-001-00000045974-001</t>
  </si>
  <si>
    <t xml:space="preserve">    900457919 000 BOUQUET AROMAS Y FRAGANCIAS S.A.S.                          </t>
  </si>
  <si>
    <t xml:space="preserve">BOUQUET AROMAS Y FRAGANCIAS S.A.S.                          </t>
  </si>
  <si>
    <t xml:space="preserve">CR 51 6 SUR 27                                                                                      </t>
  </si>
  <si>
    <t>F-010-00000012143-001</t>
  </si>
  <si>
    <t>F-010-00000012150-001</t>
  </si>
  <si>
    <t>F-010-00000012344-001</t>
  </si>
  <si>
    <t>J-003-00000000641-001</t>
  </si>
  <si>
    <t>F-003-00000016584-001</t>
  </si>
  <si>
    <t>F-003-00000017325-001</t>
  </si>
  <si>
    <t>F-003-00000017346-001</t>
  </si>
  <si>
    <t>F-003-00000017393-001</t>
  </si>
  <si>
    <t>F-003-00000017399-001</t>
  </si>
  <si>
    <t>F-003-00000017420-001</t>
  </si>
  <si>
    <t>F-003-00000017460-001</t>
  </si>
  <si>
    <t>F-003-00000017478-001</t>
  </si>
  <si>
    <t>F-003-00000017494-001</t>
  </si>
  <si>
    <t>F-003-00000017519-001</t>
  </si>
  <si>
    <t xml:space="preserve">    900466275 000 CARIBBEAN SUNRISE LABORATORIOS M&amp;F CHEMICAL S SAS           </t>
  </si>
  <si>
    <t xml:space="preserve">CARIBBEAN SUNRISE LABORATORIOS M&amp;F CHEMICAL S SAS           </t>
  </si>
  <si>
    <t xml:space="preserve">CR 52 C  8 SUR 24                                                                                   </t>
  </si>
  <si>
    <t>F-003-00000017520-001</t>
  </si>
  <si>
    <t>F-003-00000017525-001</t>
  </si>
  <si>
    <t xml:space="preserve">    900564535 000 MAZIVO GROUP SAS                                            </t>
  </si>
  <si>
    <t xml:space="preserve">MAZIVO GROUP SAS                                            </t>
  </si>
  <si>
    <t xml:space="preserve">CR 7 4 104 BRR CENTRO                                                                               </t>
  </si>
  <si>
    <t xml:space="preserve">ROLDANILLO                                        </t>
  </si>
  <si>
    <t>F-010-00000002823-001</t>
  </si>
  <si>
    <t>F-010-00000003570-001</t>
  </si>
  <si>
    <t>F-010-00000003599-001</t>
  </si>
  <si>
    <t>F-010-00000003620-001</t>
  </si>
  <si>
    <t>F-010-00000003653-001</t>
  </si>
  <si>
    <t>F-010-00000003677-001</t>
  </si>
  <si>
    <t>F-010-00000003699-001</t>
  </si>
  <si>
    <t>F-010-00000003703-001</t>
  </si>
  <si>
    <t>F-010-00000003714-001</t>
  </si>
  <si>
    <t>F-010-00000003742-001</t>
  </si>
  <si>
    <t>F-010-00000003743-001</t>
  </si>
  <si>
    <t>F-010-00000003744-001</t>
  </si>
  <si>
    <t>F-010-00000003769-001</t>
  </si>
  <si>
    <t>F-010-00000003770-001</t>
  </si>
  <si>
    <t>F-010-00000003771-001</t>
  </si>
  <si>
    <t>F-010-00000003780-001</t>
  </si>
  <si>
    <t>F-010-00000003805-001</t>
  </si>
  <si>
    <t>F-010-00000003823-001</t>
  </si>
  <si>
    <t>F-010-00000003832-001</t>
  </si>
  <si>
    <t>F-010-00000003833-001</t>
  </si>
  <si>
    <t>F-010-00000003840-001</t>
  </si>
  <si>
    <t>F-010-00000003850-001</t>
  </si>
  <si>
    <t>F-010-00000003877-001</t>
  </si>
  <si>
    <t>F-010-00000003880-001</t>
  </si>
  <si>
    <t>F-010-00000003881-001</t>
  </si>
  <si>
    <t>F-010-00000003898-001</t>
  </si>
  <si>
    <t>F-010-00000003908-001</t>
  </si>
  <si>
    <t>F-010-00000003916-001</t>
  </si>
  <si>
    <t>F-010-00000003955-001</t>
  </si>
  <si>
    <t>F-010-00000003991-001</t>
  </si>
  <si>
    <t>F-010-00000004065-001</t>
  </si>
  <si>
    <t>F-010-00000004066-001</t>
  </si>
  <si>
    <t>F-010-00000004088-001</t>
  </si>
  <si>
    <t>F-010-00000004112-001</t>
  </si>
  <si>
    <t>F-010-00000004125-001</t>
  </si>
  <si>
    <t>F-010-00000004130-001</t>
  </si>
  <si>
    <t>F-010-00000004131-001</t>
  </si>
  <si>
    <t>F-010-00000004164-001</t>
  </si>
  <si>
    <t>F-010-00000004165-001</t>
  </si>
  <si>
    <t>F-010-00000004166-001</t>
  </si>
  <si>
    <t>F-010-00000004189-001</t>
  </si>
  <si>
    <t>F-010-00000004201-001</t>
  </si>
  <si>
    <t>F-010-00000004207-001</t>
  </si>
  <si>
    <t>F-010-00000004208-001</t>
  </si>
  <si>
    <t>F-010-00000004231-001</t>
  </si>
  <si>
    <t>F-010-00000004284-001</t>
  </si>
  <si>
    <t>F-010-00000004318-001</t>
  </si>
  <si>
    <t>F-010-00000004329-001</t>
  </si>
  <si>
    <t>F-010-00000004337-001</t>
  </si>
  <si>
    <t>F-010-00000004338-001</t>
  </si>
  <si>
    <t>F-010-00000010034-001</t>
  </si>
  <si>
    <t>F-010-00000010051-001</t>
  </si>
  <si>
    <t>F-010-00000010091-001</t>
  </si>
  <si>
    <t>F-010-00000010109-001</t>
  </si>
  <si>
    <t>F-010-00000010128-001</t>
  </si>
  <si>
    <t>F-010-00000010129-001</t>
  </si>
  <si>
    <t>F-010-00000010201-001</t>
  </si>
  <si>
    <t>F-010-00000010263-001</t>
  </si>
  <si>
    <t>F-010-00000010264-001</t>
  </si>
  <si>
    <t>F-010-00000010281-001</t>
  </si>
  <si>
    <t>F-010-00000010303-001</t>
  </si>
  <si>
    <t>F-010-00000010487-001</t>
  </si>
  <si>
    <t>F-010-00000010488-001</t>
  </si>
  <si>
    <t>F-010-00000010537-001</t>
  </si>
  <si>
    <t>F-010-00000010538-001</t>
  </si>
  <si>
    <t>F-010-00000010555-001</t>
  </si>
  <si>
    <t>R-001-00000022920-001</t>
  </si>
  <si>
    <t>R-001-00000023027-001</t>
  </si>
  <si>
    <t>R-001-00000023037-001</t>
  </si>
  <si>
    <t xml:space="preserve">    900742771 000 BERHLAN DE COLOMBIA S.A.S.                                  </t>
  </si>
  <si>
    <t xml:space="preserve">BERHLAN DE COLOMBIA S.A.S.                                  </t>
  </si>
  <si>
    <t xml:space="preserve">KM 12 VIA AL VALLE                                QUINDIO                                           </t>
  </si>
  <si>
    <t xml:space="preserve">LA TEBAIDA                                        </t>
  </si>
  <si>
    <t>F-003-00000017374-001</t>
  </si>
  <si>
    <t>F-003-00000017375-001</t>
  </si>
  <si>
    <t xml:space="preserve">    900750270 000 LABORATORIOS INDUSTRIALES LPS SAS                           </t>
  </si>
  <si>
    <t xml:space="preserve">LABORATORIOS INDUSTRIALES LPS SAS                           </t>
  </si>
  <si>
    <t xml:space="preserve">CR 19 N 65 47                                                                                       </t>
  </si>
  <si>
    <t>F-003-00000017358-001</t>
  </si>
  <si>
    <t>F-003-00000017384-001</t>
  </si>
  <si>
    <t>F-003-00000017409-001</t>
  </si>
  <si>
    <t>F-003-00000017453-001</t>
  </si>
  <si>
    <t>F-003-00000017463-001</t>
  </si>
  <si>
    <t>F-003-00000017464-001</t>
  </si>
  <si>
    <t>F-003-00000017497-001</t>
  </si>
  <si>
    <t>F-003-00000017517-001</t>
  </si>
  <si>
    <t xml:space="preserve">    900781118 000 CERERIAS ESPAÑOLAS EL FARO SAS                              </t>
  </si>
  <si>
    <t xml:space="preserve">CERERIAS ESPAÑOLAS EL FARO SAS                              </t>
  </si>
  <si>
    <t xml:space="preserve">CL 2 18 93 PAR INDUSTRIAL SAN JORGE LT 43                                                           </t>
  </si>
  <si>
    <t>F-003-00000017436-001</t>
  </si>
  <si>
    <t xml:space="preserve">    900826583 000 PANDA BOTANICALS LABORATORIO SAS                            </t>
  </si>
  <si>
    <t xml:space="preserve">PANDA BOTANICALS LABORATORIO SAS                            </t>
  </si>
  <si>
    <t xml:space="preserve">CR 60 70 10                                                                                         </t>
  </si>
  <si>
    <t>F-001-00000050471-001</t>
  </si>
  <si>
    <t>F-001-00000050542-001</t>
  </si>
  <si>
    <t>F-001-00000050722-001</t>
  </si>
  <si>
    <t>F-001-00000050754-001</t>
  </si>
  <si>
    <t>F-001-00000050928-001</t>
  </si>
  <si>
    <t>F-001-00000054208-001</t>
  </si>
  <si>
    <t>F-001-00000054304-001</t>
  </si>
  <si>
    <t>F-001-00000054453-001</t>
  </si>
  <si>
    <t>F-001-00000054520-001</t>
  </si>
  <si>
    <t>F-001-00000054623-001</t>
  </si>
  <si>
    <t>F-001-00000054621-001</t>
  </si>
  <si>
    <t>F-001-00000054622-001</t>
  </si>
  <si>
    <t>F-001-00000054624-001</t>
  </si>
  <si>
    <t xml:space="preserve">    900860484 000 FULLAROME SAS                                               </t>
  </si>
  <si>
    <t xml:space="preserve">FULLAROME SAS                                               </t>
  </si>
  <si>
    <t xml:space="preserve">CR 38 9 60 BG 1 A                                 VALLE DEL CAUCA                                   </t>
  </si>
  <si>
    <t xml:space="preserve">YUMBO                                             </t>
  </si>
  <si>
    <t xml:space="preserve">0112    </t>
  </si>
  <si>
    <t xml:space="preserve">MUÑOZ URREA JUAN CARLOS                           </t>
  </si>
  <si>
    <t>F-003-00000017292-001</t>
  </si>
  <si>
    <t>F-003-00000017298-001</t>
  </si>
  <si>
    <t>F-003-00000017319-001</t>
  </si>
  <si>
    <t>F-003-00000017337-001</t>
  </si>
  <si>
    <t>F-003-00000017347-001</t>
  </si>
  <si>
    <t>F-003-00000017363-001</t>
  </si>
  <si>
    <t>F-003-00000017376-001</t>
  </si>
  <si>
    <t>F-003-00000017395-001</t>
  </si>
  <si>
    <t>F-003-00000017401-001</t>
  </si>
  <si>
    <t>F-003-00000017415-001</t>
  </si>
  <si>
    <t>F-003-00000017430-001</t>
  </si>
  <si>
    <t>F-003-00000017461-001</t>
  </si>
  <si>
    <t>F-003-00000017475-001</t>
  </si>
  <si>
    <t>F-003-00000017495-001</t>
  </si>
  <si>
    <t>F-003-00000017509-001</t>
  </si>
  <si>
    <t>F-003-00000017526-001</t>
  </si>
  <si>
    <t xml:space="preserve">    900866513 000 THE SECRET GARDEN GROUP SAS                                 </t>
  </si>
  <si>
    <t xml:space="preserve">THE SECRET GARDEN GROUP SAS                                 </t>
  </si>
  <si>
    <t xml:space="preserve">CR 72H BIS B 38 19                                                                                  </t>
  </si>
  <si>
    <t>F-010-00000003772-001</t>
  </si>
  <si>
    <t>F-010-00000003809-001</t>
  </si>
  <si>
    <t>F-010-00000003813-001</t>
  </si>
  <si>
    <t xml:space="preserve">    900866837 000 LABORATORIOS BIOCRESS SAS                                   </t>
  </si>
  <si>
    <t xml:space="preserve">LABORATORIOS BIOCRESS SAS                                   </t>
  </si>
  <si>
    <t xml:space="preserve">CL 5 9 21 BRR JUNIN IV                            SANTANDER                                         </t>
  </si>
  <si>
    <t xml:space="preserve">PIEDECUESTA                                       </t>
  </si>
  <si>
    <t>F-003-00000017424-001</t>
  </si>
  <si>
    <t xml:space="preserve">    901004367 000 INDUSTRIA COLOMBIANA DE COSMETICOS Y ASEO ALDIX SAS         </t>
  </si>
  <si>
    <t xml:space="preserve">INDUSTRIA COLOMBIANA DE COSMETICOS Y ASEO ALDIX SAS         </t>
  </si>
  <si>
    <t xml:space="preserve">CL 94 129 83 KM 3 VIA BOQUERON                    ANTIOQUIA                                         </t>
  </si>
  <si>
    <t>F-001-00000054627-001</t>
  </si>
  <si>
    <t>F-001-00000054694-001</t>
  </si>
  <si>
    <t>F-001-00000054696-001</t>
  </si>
  <si>
    <t>F-010-00000000571-001</t>
  </si>
  <si>
    <t>F-010-00000001644-001</t>
  </si>
  <si>
    <t>F-010-00000001900-001</t>
  </si>
  <si>
    <t>F-010-00000002139-001</t>
  </si>
  <si>
    <t>F-010-00000002288-001</t>
  </si>
  <si>
    <t xml:space="preserve">    901088196 000 VIRUTEX ILKO COLOMBIA SAS                                   </t>
  </si>
  <si>
    <t xml:space="preserve">VIRUTEX ILKO COLOMBIA SAS                                   </t>
  </si>
  <si>
    <t xml:space="preserve">ZF DEL CAUCA ET 4 LT 12 CALOTO                    CALOTO                                            </t>
  </si>
  <si>
    <t xml:space="preserve">CALOTO                                            </t>
  </si>
  <si>
    <t>R-001-00000022798-001</t>
  </si>
  <si>
    <t>F-003-00000017390-001</t>
  </si>
  <si>
    <t>F-003-00000017470-001</t>
  </si>
  <si>
    <t xml:space="preserve">    901133208 000 INDUSTRIAS CMN SAS                                          </t>
  </si>
  <si>
    <t xml:space="preserve">INDUSTRIAS CMN SAS                                          </t>
  </si>
  <si>
    <t xml:space="preserve">CR 60 48 35 SUR BG 3                                                                                </t>
  </si>
  <si>
    <t>F-010-00000001773-001</t>
  </si>
  <si>
    <t>F-010-00000001776-001</t>
  </si>
  <si>
    <t>F-010-00000001825-001</t>
  </si>
  <si>
    <t>F-010-00000001876-001</t>
  </si>
  <si>
    <t>F-010-00000001905-001</t>
  </si>
  <si>
    <t>F-010-00000001942-001</t>
  </si>
  <si>
    <t>F-010-00000001949-001</t>
  </si>
  <si>
    <t>F-010-00000001950-001</t>
  </si>
  <si>
    <t>F-010-00000001989-001</t>
  </si>
  <si>
    <t>F-010-00000002017-001</t>
  </si>
  <si>
    <t>F-010-00000002018-001</t>
  </si>
  <si>
    <t>F-010-00000002019-001</t>
  </si>
  <si>
    <t>F-010-00000002205-001</t>
  </si>
  <si>
    <t>F-010-00000002206-001</t>
  </si>
  <si>
    <t>F-010-00000002373-001</t>
  </si>
  <si>
    <t>F-010-00000002404-001</t>
  </si>
  <si>
    <t>F-010-00000002576-001</t>
  </si>
  <si>
    <t>F-010-00000002661-001</t>
  </si>
  <si>
    <t>F-010-00000002717-001</t>
  </si>
  <si>
    <t>F-010-00000002731-001</t>
  </si>
  <si>
    <t>F-010-00000002867-001</t>
  </si>
  <si>
    <t>F-010-00000002868-001</t>
  </si>
  <si>
    <t>F-010-00000002896-001</t>
  </si>
  <si>
    <t>F-010-00000002918-001</t>
  </si>
  <si>
    <t>F-010-00000002957-001</t>
  </si>
  <si>
    <t>F-010-00000002969-001</t>
  </si>
  <si>
    <t xml:space="preserve">    901180690 000 MAXIM SURAMERICA SAS                                        </t>
  </si>
  <si>
    <t xml:space="preserve">MAXIM SURAMERICA SAS                                        </t>
  </si>
  <si>
    <t xml:space="preserve">CL 4 1 H 247 BG A 03 04                           CENTRO EMPRESARIAL OIKOS                          </t>
  </si>
  <si>
    <t>F-003-00000017185-001</t>
  </si>
  <si>
    <t xml:space="preserve">    901208344 000 DISFRAROMAS ONE SAS                                         </t>
  </si>
  <si>
    <t xml:space="preserve">DISFRAROMAS ONE SAS                                         </t>
  </si>
  <si>
    <t xml:space="preserve">CR 56 B 49 39                                     ANTIOQUIA                                         </t>
  </si>
  <si>
    <t>F-003-00000017397-001</t>
  </si>
  <si>
    <t>F-003-00000017527-001</t>
  </si>
  <si>
    <t xml:space="preserve">    901209350 000 QUIMISENSE SAS                                              </t>
  </si>
  <si>
    <t xml:space="preserve">QUIMISENSE SAS                                              </t>
  </si>
  <si>
    <t xml:space="preserve">CR 91 A 71 A 97                                                                                     </t>
  </si>
  <si>
    <t>J-003-00000000689-001</t>
  </si>
  <si>
    <t>F-003-00000017462-001</t>
  </si>
  <si>
    <t>F-003-00000017476-001</t>
  </si>
  <si>
    <t>F-003-00000017481-001</t>
  </si>
  <si>
    <t>F-003-00000017493-001</t>
  </si>
  <si>
    <t>F-003-00000017508-001</t>
  </si>
  <si>
    <t>F-003-00000017528-001</t>
  </si>
  <si>
    <t>F-003-00000017533-001</t>
  </si>
  <si>
    <t xml:space="preserve">    901260145 000 NOW CLEANY SAS                                              </t>
  </si>
  <si>
    <t xml:space="preserve">NOW CLEANY SAS                                              </t>
  </si>
  <si>
    <t xml:space="preserve">SAN JERONIMO CENTRO LOGISTICO E INDUSTRIAL KM 3 MZF BG 2                                            </t>
  </si>
  <si>
    <t xml:space="preserve">MONTERIA                                          </t>
  </si>
  <si>
    <t>F-003-00000017411-001</t>
  </si>
  <si>
    <t>F-003-00000017455-001</t>
  </si>
  <si>
    <t>F-003-00000017511-001</t>
  </si>
  <si>
    <t xml:space="preserve">    901338950 000 LA VERANERA COLOMBIA SAS                                    </t>
  </si>
  <si>
    <t xml:space="preserve">LA VERANERA COLOMBIA SAS                                    </t>
  </si>
  <si>
    <t xml:space="preserve">TRV 1 83 63 APTO 501                                                                                </t>
  </si>
  <si>
    <t>F-003-00000017364-001</t>
  </si>
  <si>
    <t>F-003-00000017446-001</t>
  </si>
  <si>
    <t>F-003-00000017500-001</t>
  </si>
  <si>
    <t xml:space="preserve">    901390015 000 FAST MODA SAS                                               </t>
  </si>
  <si>
    <t xml:space="preserve">FAST MODA SAS                                               </t>
  </si>
  <si>
    <t xml:space="preserve">PAR INDUSTRIAL LOGISTICO CITTIUM BODEGA 2 AUT MEDEKM 8 5 COSTADO SUR                                </t>
  </si>
  <si>
    <t xml:space="preserve">TENJO                                             </t>
  </si>
  <si>
    <t>F-003-00000017474-001</t>
  </si>
  <si>
    <t xml:space="preserve">    901415267 000 FUNTRITION S.A.S.                                           </t>
  </si>
  <si>
    <t xml:space="preserve">FUNTRITION S.A.S.                                           </t>
  </si>
  <si>
    <t xml:space="preserve">AV BOYACA 20 92                                                                                     </t>
  </si>
  <si>
    <t>R-001-00000022317-001</t>
  </si>
  <si>
    <t xml:space="preserve">    901440947 000 INDUSTRIAS ALDIX S.A.S.                                     </t>
  </si>
  <si>
    <t xml:space="preserve">INDUSTRIAS ALDIX S.A.S.                                     </t>
  </si>
  <si>
    <t xml:space="preserve">CL 94 129 93 KM VIA BOQUERON                                                                        </t>
  </si>
  <si>
    <t>F-010-00000002799-001</t>
  </si>
  <si>
    <t>F-010-00000002800-001</t>
  </si>
  <si>
    <t>F-010-00000002801-001</t>
  </si>
  <si>
    <t xml:space="preserve">    901493654 000 BRAND &amp; SOLUTIONS SAS                                       </t>
  </si>
  <si>
    <t xml:space="preserve">BRAND &amp; SOLUTIONS SAS                                       </t>
  </si>
  <si>
    <t xml:space="preserve">CR 65 103 62 AP 508                                                                                 </t>
  </si>
  <si>
    <t>R-001-00000023059-001</t>
  </si>
  <si>
    <t xml:space="preserve">    901747453 000 AMSA QUIMICOS SAS                                           </t>
  </si>
  <si>
    <t xml:space="preserve">AMSA QUIMICOS SAS                                           </t>
  </si>
  <si>
    <t xml:space="preserve">VIA PALENQUE - CAFE MADRID ETAPA SEGUNDA PAR INDUS                                                  </t>
  </si>
  <si>
    <t xml:space="preserve">BUCARAMANGA                                       </t>
  </si>
  <si>
    <t>R-001-00000023155-001</t>
  </si>
  <si>
    <t xml:space="preserve">Total       9236914 000 MONTIEL DIAZ EMIR YAMID                                     </t>
  </si>
  <si>
    <t xml:space="preserve">Total      79532803 000 MORA GONZALEZ JUAN CARLOS                                   </t>
  </si>
  <si>
    <t xml:space="preserve">Total     444444526 000 FLORAROM                                                    </t>
  </si>
  <si>
    <t xml:space="preserve">Total     800203984 000 SIMONIZ SA                                                  </t>
  </si>
  <si>
    <t xml:space="preserve">Total     800248092 000 COSMETICOS MARLIOU PARIS LTDA                               </t>
  </si>
  <si>
    <t xml:space="preserve">Total     802021602 000 PRODECAR LIMITADA                                           </t>
  </si>
  <si>
    <t xml:space="preserve">Total     811012461 000 PROCESOS 2000 SAS                                           </t>
  </si>
  <si>
    <t xml:space="preserve">Total     817000680 000 FAMILIA DEL PACIFICO SAS                                    </t>
  </si>
  <si>
    <t xml:space="preserve">Total     817000809 000 INDUSTRIAS PATOJITO SAS                                     </t>
  </si>
  <si>
    <t xml:space="preserve">Total     830054444 000 PRODUCCION Y GESTION SAS                                    </t>
  </si>
  <si>
    <t xml:space="preserve">Total     830057664 000 MARCHEN SA EN REORGANIZACION                                </t>
  </si>
  <si>
    <t xml:space="preserve">Total     830061446 000 CONSTELACION INDUSTRIAL DEL ASEO S.A.S                      </t>
  </si>
  <si>
    <t xml:space="preserve">Total     830071113 000 COSMETIC FASHION CORPORATION S.A.                           </t>
  </si>
  <si>
    <t xml:space="preserve">Total     830500365 000 QUIMICOLOR SAS                                              </t>
  </si>
  <si>
    <t xml:space="preserve">Total     830506179 000 QUIMICA ORION SA                                            </t>
  </si>
  <si>
    <t xml:space="preserve">Total     860000135 000 AZUL K S A S                                                </t>
  </si>
  <si>
    <t xml:space="preserve">Total     860001777 000 INDUSTRIAS INCA SAS                                         </t>
  </si>
  <si>
    <t xml:space="preserve">Total     860002274 000 ETERNA S A                                                  </t>
  </si>
  <si>
    <t xml:space="preserve">Total     860031786 000 FULLER PINTO SA                                             </t>
  </si>
  <si>
    <t xml:space="preserve">Total     860049740 000 JEAN PASCAL S A S                                           </t>
  </si>
  <si>
    <t xml:space="preserve">Total     860525726 000 INDULATEX S A EN REESTRUCTURACION                           </t>
  </si>
  <si>
    <t xml:space="preserve">Total     890923922 000 EMPRESA DE COSMETICOS Y SERVICIOS SA                        </t>
  </si>
  <si>
    <t>Total     900013415 000 COMERCIALIZADORA INTERNACIONAL CARBONES ANDINOS DE AMERICA S</t>
  </si>
  <si>
    <t xml:space="preserve">Total     900015899 000 ESSENSALE SOCIEDAD POR ACCIONES SIMPLIFICADAS               </t>
  </si>
  <si>
    <t xml:space="preserve">Total     900073226 000 PROSIGNA SAS                                                </t>
  </si>
  <si>
    <t xml:space="preserve">Total     900117244 000 ARINTIA GROUP SAS                                           </t>
  </si>
  <si>
    <t xml:space="preserve">Total     900142501 000 LUCAFER SAS                                                 </t>
  </si>
  <si>
    <t xml:space="preserve">Total     900225474 000 SCALPI COSMETICA SA                                         </t>
  </si>
  <si>
    <t xml:space="preserve">Total     900229913 000 FLOW CHEM SAS                                               </t>
  </si>
  <si>
    <t xml:space="preserve">Total     900240333 000 TRADE PASSING S A S                                         </t>
  </si>
  <si>
    <t xml:space="preserve">Total     900265795 000 PERFUMES Y ESENCIAS FRAICHE SAS                             </t>
  </si>
  <si>
    <t xml:space="preserve">Total     900307659 000 SENSOCODE SAS                                               </t>
  </si>
  <si>
    <t xml:space="preserve">Total     900324176 000 CARIBEAN ECO SOAPS USUARIO INDUSTRIAL DE BIENES Y SERVICIOS </t>
  </si>
  <si>
    <t xml:space="preserve">Total     900337711 000 TROPICAL DE COLOMBIA SAS                                    </t>
  </si>
  <si>
    <t xml:space="preserve">Total     900369941 000 LABORATORIOS DOMECO SAS                                     </t>
  </si>
  <si>
    <t xml:space="preserve">Total     900388839 000 HADA INTERNATIONAL S.A.S.                                   </t>
  </si>
  <si>
    <t xml:space="preserve">Total     900398299 000 COMERCIALIZAMOS CE SAS                                      </t>
  </si>
  <si>
    <t xml:space="preserve">Total     900411753 000 LAS DELICIAS LIMPIADOR DESINFECTANTES SAS                   </t>
  </si>
  <si>
    <t xml:space="preserve">Total     900414489 000 SOL FRAGANCE SAS                                            </t>
  </si>
  <si>
    <t xml:space="preserve">Total     900417990 000 WA S.A.S                                                    </t>
  </si>
  <si>
    <t xml:space="preserve">Total     900457919 000 BOUQUET AROMAS Y FRAGANCIAS S.A.S.                          </t>
  </si>
  <si>
    <t xml:space="preserve">Total     900466275 000 CARIBBEAN SUNRISE LABORATORIOS M&amp;F CHEMICAL S SAS           </t>
  </si>
  <si>
    <t xml:space="preserve">Total     900564535 000 MAZIVO GROUP SAS                                            </t>
  </si>
  <si>
    <t xml:space="preserve">Total     900742771 000 BERHLAN DE COLOMBIA S.A.S.                                  </t>
  </si>
  <si>
    <t xml:space="preserve">Total     900750270 000 LABORATORIOS INDUSTRIALES LPS SAS                           </t>
  </si>
  <si>
    <t xml:space="preserve">Total     900781118 000 CERERIAS ESPAÑOLAS EL FARO SAS                              </t>
  </si>
  <si>
    <t xml:space="preserve">Total     900826583 000 PANDA BOTANICALS LABORATORIO SAS                            </t>
  </si>
  <si>
    <t xml:space="preserve">Total     900860484 000 FULLAROME SAS                                               </t>
  </si>
  <si>
    <t xml:space="preserve">Total     900866513 000 THE SECRET GARDEN GROUP SAS                                 </t>
  </si>
  <si>
    <t xml:space="preserve">Total     900866837 000 LABORATORIOS BIOCRESS SAS                                   </t>
  </si>
  <si>
    <t xml:space="preserve">Total     901004367 000 INDUSTRIA COLOMBIANA DE COSMETICOS Y ASEO ALDIX SAS         </t>
  </si>
  <si>
    <t xml:space="preserve">Total     901088196 000 VIRUTEX ILKO COLOMBIA SAS                                   </t>
  </si>
  <si>
    <t xml:space="preserve">Total     901133208 000 INDUSTRIAS CMN SAS                                          </t>
  </si>
  <si>
    <t xml:space="preserve">Total     901180690 000 MAXIM SURAMERICA SAS                                        </t>
  </si>
  <si>
    <t xml:space="preserve">Total     901208344 000 DISFRAROMAS ONE SAS                                         </t>
  </si>
  <si>
    <t xml:space="preserve">Total     901209350 000 QUIMISENSE SAS                                              </t>
  </si>
  <si>
    <t xml:space="preserve">Total     901260145 000 NOW CLEANY SAS                                              </t>
  </si>
  <si>
    <t xml:space="preserve">Total     901338950 000 LA VERANERA COLOMBIA SAS                                    </t>
  </si>
  <si>
    <t xml:space="preserve">Total     901390015 000 FAST MODA SAS                                               </t>
  </si>
  <si>
    <t xml:space="preserve">Total     901415267 000 FUNTRITION S.A.S.                                           </t>
  </si>
  <si>
    <t xml:space="preserve">Total     901440947 000 INDUSTRIAS ALDIX S.A.S.                                     </t>
  </si>
  <si>
    <t xml:space="preserve">Total     901493654 000 BRAND &amp; SOLUTIONS SAS                                       </t>
  </si>
  <si>
    <t xml:space="preserve">Total     901747453 000 AMSA QUIMICOS SAS                                           </t>
  </si>
  <si>
    <t>Total general</t>
  </si>
  <si>
    <t xml:space="preserve">Total 13050500  </t>
  </si>
  <si>
    <t>Procesado en: 2026/04/01  09:13:31:91</t>
  </si>
  <si>
    <t>SALDOS DE CARTERA POR  NIT  - NUMERICO</t>
  </si>
  <si>
    <t>Siigo - FINEAROM SAS</t>
  </si>
  <si>
    <t>ABR/01/2026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</si>
</sst>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,##0_);[Red]\(##,##0\)"/>
    <numFmt numFmtId="165" formatCode="yyyy/mm/dd"/>
    <numFmt numFmtId="166" formatCode="##,##0.00_);[Red]\(##,##0.00\)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   "/>
    </font>
    <font>
      <b/>
      <sz val="10"/>
      <color theme="1"/>
      <name val="Verdana"/>
      <family val="2"/>
    </font>
    <font>
      <b/>
      <sz val="18"/>
      <color theme="1"/>
      <name val="Verdana   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0" fontId="18" fillId="0" borderId="0" xfId="0" applyFont="1"/>
    <xf numFmtId="0" fontId="18" fillId="0" borderId="0" xfId="0" applyNumberFormat="1" applyFont="1"/>
    <xf numFmtId="164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0" fontId="18" fillId="33" borderId="0" xfId="0" applyNumberFormat="1" applyFont="1" applyFill="1"/>
    <xf numFmtId="164" fontId="18" fillId="33" borderId="0" xfId="0" applyNumberFormat="1" applyFont="1" applyFill="1"/>
    <xf numFmtId="165" fontId="18" fillId="33" borderId="0" xfId="0" applyNumberFormat="1" applyFont="1" applyFill="1"/>
    <xf numFmtId="166" fontId="18" fillId="33" borderId="0" xfId="0" applyNumberFormat="1" applyFont="1" applyFill="1"/>
    <xf numFmtId="0" fontId="19" fillId="33" borderId="0" xfId="0" applyNumberFormat="1" applyFont="1" applyFill="1"/>
    <xf numFmtId="164" fontId="19" fillId="33" borderId="0" xfId="0" applyNumberFormat="1" applyFont="1" applyFill="1"/>
    <xf numFmtId="165" fontId="19" fillId="33" borderId="0" xfId="0" applyNumberFormat="1" applyFont="1" applyFill="1"/>
    <xf numFmtId="166" fontId="19" fillId="33" borderId="0" xfId="0" applyNumberFormat="1" applyFont="1" applyFill="1"/>
    <xf numFmtId="0" fontId="20" fillId="0" borderId="0" xfId="0" applyNumberFormat="1" applyFont="1"/>
    <xf numFmtId="0" fontId="19" fillId="33" borderId="0" xfId="0" applyNumberFormat="1" applyFont="1" applyFill="1" applyAlignment="1">
      <alignment horizontal="left"/>
    </xf>
    <xf numFmtId="0" fontId="0" fillId="33" borderId="0" xfId="0" applyFill="1" applyAlignment="1">
      <alignment horizontal="left"/>
    </xf>
    <xf numFmtId="0" fontId="21" fillId="33" borderId="0" xfId="0" applyNumberFormat="1" applyFont="1" applyFill="1" applyAlignment="1">
      <alignment horizontal="center"/>
    </xf>
    <xf numFmtId="0" fontId="0" fillId="33" borderId="0" xfId="0" applyFill="1" applyAlignment="1">
      <alignment horizontal="center"/>
    </xf>
    <xf numFmtId="166" fontId="19" fillId="33" borderId="0" xfId="0" applyNumberFormat="1" applyFont="1" applyFill="1" applyAlignment="1">
      <alignment horizontal="righ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31"/>
  <sheetViews>
    <sheetView tabSelected="1" workbookViewId="0">
      <selection sqref="A1:W1"/>
    </sheetView>
  </sheetViews>
  <sheetFormatPr baseColWidth="10" defaultRowHeight="12.75" outlineLevelRow="3"/>
  <cols>
    <col min="1" max="1" width="104" style="2" bestFit="1" customWidth="1"/>
    <col min="2" max="2" width="13.5703125" style="3" hidden="1" customWidth="1"/>
    <col min="3" max="3" width="6.5703125" style="3" hidden="1" customWidth="1"/>
    <col min="4" max="4" width="72" style="2" hidden="1" customWidth="1"/>
    <col min="5" max="5" width="12.5703125" style="2" bestFit="1" customWidth="1"/>
    <col min="6" max="6" width="112.140625" style="2" bestFit="1" customWidth="1"/>
    <col min="7" max="7" width="47.5703125" style="2" bestFit="1" customWidth="1"/>
    <col min="8" max="8" width="22.28515625" style="2" bestFit="1" customWidth="1"/>
    <col min="9" max="9" width="39" style="2" bestFit="1" customWidth="1"/>
    <col min="10" max="10" width="11.140625" style="2" bestFit="1" customWidth="1"/>
    <col min="11" max="11" width="11.5703125" style="2" bestFit="1" customWidth="1"/>
    <col min="12" max="12" width="51.7109375" style="2" bestFit="1" customWidth="1"/>
    <col min="13" max="13" width="18.5703125" style="2" bestFit="1" customWidth="1"/>
    <col min="14" max="14" width="4.42578125" style="3" bestFit="1" customWidth="1"/>
    <col min="15" max="15" width="46.7109375" style="2" bestFit="1" customWidth="1"/>
    <col min="16" max="16" width="24.85546875" style="2" bestFit="1" customWidth="1"/>
    <col min="17" max="18" width="11.85546875" style="4" bestFit="1" customWidth="1"/>
    <col min="19" max="19" width="8" style="3" bestFit="1" customWidth="1"/>
    <col min="20" max="20" width="14.28515625" style="5" bestFit="1" customWidth="1"/>
    <col min="21" max="21" width="19.85546875" style="2" bestFit="1" customWidth="1"/>
    <col min="22" max="22" width="19.28515625" style="5" bestFit="1" customWidth="1"/>
    <col min="23" max="23" width="18.5703125" style="5" bestFit="1" customWidth="1"/>
    <col min="24" max="24" width="18.140625" style="5" bestFit="1" customWidth="1"/>
    <col min="25" max="16384" width="11.42578125" style="1"/>
  </cols>
  <sheetData>
    <row r="1" spans="1:24" ht="15">
      <c r="A1" s="15" t="s">
        <v>745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9" t="s">
        <v>746</v>
      </c>
    </row>
    <row r="2" spans="1:24" ht="23.25">
      <c r="A2" s="17" t="s">
        <v>744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3" spans="1:24">
      <c r="A3" s="6"/>
      <c r="B3" s="7"/>
      <c r="C3" s="7"/>
      <c r="D3" s="6"/>
      <c r="E3" s="6"/>
      <c r="F3" s="6"/>
      <c r="G3" s="6"/>
      <c r="H3" s="6"/>
      <c r="I3" s="6"/>
      <c r="J3" s="6"/>
      <c r="K3" s="6"/>
      <c r="L3" s="6"/>
      <c r="M3" s="6"/>
      <c r="N3" s="7"/>
      <c r="O3" s="6"/>
      <c r="P3" s="6"/>
      <c r="Q3" s="8"/>
      <c r="R3" s="8"/>
      <c r="S3" s="7"/>
      <c r="T3" s="9"/>
      <c r="U3" s="6"/>
      <c r="V3" s="9"/>
      <c r="W3" s="9"/>
      <c r="X3" s="9"/>
    </row>
    <row r="4" spans="1:24">
      <c r="A4" s="6"/>
      <c r="B4" s="7"/>
      <c r="C4" s="7"/>
      <c r="D4" s="6"/>
      <c r="E4" s="6"/>
      <c r="F4" s="6"/>
      <c r="G4" s="6"/>
      <c r="H4" s="6"/>
      <c r="I4" s="6"/>
      <c r="J4" s="6"/>
      <c r="K4" s="6"/>
      <c r="L4" s="6"/>
      <c r="M4" s="6"/>
      <c r="N4" s="7"/>
      <c r="O4" s="6"/>
      <c r="P4" s="6"/>
      <c r="Q4" s="8"/>
      <c r="R4" s="8"/>
      <c r="S4" s="7"/>
      <c r="T4" s="9"/>
      <c r="U4" s="6"/>
      <c r="V4" s="9"/>
      <c r="W4" s="9"/>
      <c r="X4" s="9"/>
    </row>
    <row r="5" spans="1:24" ht="15">
      <c r="A5" s="15" t="s">
        <v>743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</row>
    <row r="7" spans="1:24">
      <c r="A7" s="10" t="s">
        <v>0</v>
      </c>
      <c r="B7" s="11" t="s">
        <v>1</v>
      </c>
      <c r="C7" s="11" t="s">
        <v>2</v>
      </c>
      <c r="D7" s="10" t="s">
        <v>3</v>
      </c>
      <c r="E7" s="10" t="s">
        <v>4</v>
      </c>
      <c r="F7" s="10" t="s">
        <v>5</v>
      </c>
      <c r="G7" s="10" t="s">
        <v>6</v>
      </c>
      <c r="H7" s="10" t="s">
        <v>7</v>
      </c>
      <c r="I7" s="10" t="s">
        <v>8</v>
      </c>
      <c r="J7" s="10" t="s">
        <v>9</v>
      </c>
      <c r="K7" s="10" t="s">
        <v>10</v>
      </c>
      <c r="L7" s="10" t="s">
        <v>11</v>
      </c>
      <c r="M7" s="10" t="s">
        <v>12</v>
      </c>
      <c r="N7" s="11" t="s">
        <v>13</v>
      </c>
      <c r="O7" s="10" t="s">
        <v>14</v>
      </c>
      <c r="P7" s="10" t="s">
        <v>15</v>
      </c>
      <c r="Q7" s="12" t="s">
        <v>16</v>
      </c>
      <c r="R7" s="12" t="s">
        <v>17</v>
      </c>
      <c r="S7" s="11" t="s">
        <v>18</v>
      </c>
      <c r="T7" s="13" t="s">
        <v>19</v>
      </c>
      <c r="U7" s="10" t="s">
        <v>20</v>
      </c>
      <c r="V7" s="13" t="s">
        <v>21</v>
      </c>
      <c r="W7" s="13" t="s">
        <v>22</v>
      </c>
      <c r="X7" s="13" t="s">
        <v>23</v>
      </c>
    </row>
    <row r="8" spans="1:24" outlineLevel="3">
      <c r="A8" s="2" t="s">
        <v>24</v>
      </c>
      <c r="B8" s="3">
        <v>9236914</v>
      </c>
      <c r="C8" s="3">
        <v>0</v>
      </c>
      <c r="D8" s="2" t="s">
        <v>25</v>
      </c>
      <c r="E8" s="2">
        <v>5806667</v>
      </c>
      <c r="F8" s="2" t="s">
        <v>26</v>
      </c>
      <c r="G8" s="2" t="s">
        <v>27</v>
      </c>
      <c r="H8" s="2" t="s">
        <v>28</v>
      </c>
      <c r="I8" s="2" t="s">
        <v>11</v>
      </c>
      <c r="J8" s="2" t="s">
        <v>29</v>
      </c>
      <c r="K8" s="2" t="s">
        <v>30</v>
      </c>
      <c r="L8" s="2" t="s">
        <v>31</v>
      </c>
      <c r="M8" s="2" t="s">
        <v>32</v>
      </c>
      <c r="N8" s="3">
        <v>0</v>
      </c>
      <c r="O8" s="2" t="s">
        <v>33</v>
      </c>
      <c r="P8" s="2" t="s">
        <v>34</v>
      </c>
      <c r="Q8" s="4">
        <v>44048</v>
      </c>
      <c r="R8" s="4">
        <v>44108</v>
      </c>
      <c r="S8" s="3">
        <v>-1977</v>
      </c>
      <c r="T8" s="5">
        <v>0</v>
      </c>
      <c r="U8" s="2" t="s">
        <v>20</v>
      </c>
      <c r="V8" s="5">
        <v>8161329.0800000001</v>
      </c>
      <c r="W8" s="5">
        <v>8161329.0800000001</v>
      </c>
      <c r="X8" s="5">
        <v>8161329.0800000001</v>
      </c>
    </row>
    <row r="9" spans="1:24" outlineLevel="2">
      <c r="M9" s="14" t="s">
        <v>742</v>
      </c>
      <c r="T9" s="5">
        <f>SUBTOTAL(9,T8:T8)</f>
        <v>0</v>
      </c>
      <c r="V9" s="5">
        <f>SUBTOTAL(9,V8:V8)</f>
        <v>8161329.0800000001</v>
      </c>
      <c r="W9" s="5">
        <f>SUBTOTAL(9,W8:W8)</f>
        <v>8161329.0800000001</v>
      </c>
    </row>
    <row r="10" spans="1:24" outlineLevel="1">
      <c r="A10" s="14" t="s">
        <v>678</v>
      </c>
      <c r="T10" s="5">
        <f>SUBTOTAL(9,T8:T8)</f>
        <v>0</v>
      </c>
      <c r="V10" s="5">
        <f>SUBTOTAL(9,V8:V8)</f>
        <v>8161329.0800000001</v>
      </c>
      <c r="W10" s="5">
        <f>SUBTOTAL(9,W8:W8)</f>
        <v>8161329.0800000001</v>
      </c>
    </row>
    <row r="11" spans="1:24" outlineLevel="3">
      <c r="A11" s="2" t="s">
        <v>35</v>
      </c>
      <c r="B11" s="3">
        <v>79532803</v>
      </c>
      <c r="C11" s="3">
        <v>0</v>
      </c>
      <c r="D11" s="2" t="s">
        <v>36</v>
      </c>
      <c r="E11" s="2">
        <v>3175099517</v>
      </c>
      <c r="F11" s="2" t="s">
        <v>37</v>
      </c>
      <c r="G11" s="2" t="s">
        <v>38</v>
      </c>
      <c r="H11" s="2" t="s">
        <v>28</v>
      </c>
      <c r="I11" s="2" t="s">
        <v>11</v>
      </c>
      <c r="J11" s="2" t="s">
        <v>39</v>
      </c>
      <c r="K11" s="2" t="s">
        <v>40</v>
      </c>
      <c r="L11" s="2" t="s">
        <v>41</v>
      </c>
      <c r="M11" s="2" t="s">
        <v>32</v>
      </c>
      <c r="N11" s="3">
        <v>0</v>
      </c>
      <c r="O11" s="2" t="s">
        <v>33</v>
      </c>
      <c r="P11" s="2" t="s">
        <v>42</v>
      </c>
      <c r="Q11" s="4">
        <v>44491</v>
      </c>
      <c r="R11" s="4">
        <v>44926</v>
      </c>
      <c r="S11" s="3">
        <v>-1170</v>
      </c>
      <c r="T11" s="5">
        <v>0</v>
      </c>
      <c r="U11" s="2" t="s">
        <v>20</v>
      </c>
      <c r="V11" s="5">
        <v>44843000</v>
      </c>
      <c r="W11" s="5">
        <v>44843000</v>
      </c>
      <c r="X11" s="5">
        <v>44843000</v>
      </c>
    </row>
    <row r="12" spans="1:24" outlineLevel="2">
      <c r="M12" s="14" t="s">
        <v>742</v>
      </c>
      <c r="T12" s="5">
        <f>SUBTOTAL(9,T11:T11)</f>
        <v>0</v>
      </c>
      <c r="V12" s="5">
        <f>SUBTOTAL(9,V11:V11)</f>
        <v>44843000</v>
      </c>
      <c r="W12" s="5">
        <f>SUBTOTAL(9,W11:W11)</f>
        <v>44843000</v>
      </c>
    </row>
    <row r="13" spans="1:24" outlineLevel="1">
      <c r="A13" s="14" t="s">
        <v>679</v>
      </c>
      <c r="T13" s="5">
        <f>SUBTOTAL(9,T11:T11)</f>
        <v>0</v>
      </c>
      <c r="V13" s="5">
        <f>SUBTOTAL(9,V11:V11)</f>
        <v>44843000</v>
      </c>
      <c r="W13" s="5">
        <f>SUBTOTAL(9,W11:W11)</f>
        <v>44843000</v>
      </c>
    </row>
    <row r="14" spans="1:24" outlineLevel="3">
      <c r="A14" s="2" t="s">
        <v>43</v>
      </c>
      <c r="B14" s="3">
        <v>444444526</v>
      </c>
      <c r="C14" s="3">
        <v>0</v>
      </c>
      <c r="D14" s="2" t="s">
        <v>44</v>
      </c>
      <c r="E14" s="2">
        <v>26005475</v>
      </c>
      <c r="F14" s="2" t="s">
        <v>45</v>
      </c>
      <c r="G14" s="2" t="s">
        <v>46</v>
      </c>
      <c r="H14" s="2" t="s">
        <v>28</v>
      </c>
      <c r="I14" s="2" t="s">
        <v>11</v>
      </c>
      <c r="J14" s="2" t="s">
        <v>29</v>
      </c>
      <c r="K14" s="2" t="s">
        <v>47</v>
      </c>
      <c r="L14" s="2" t="s">
        <v>48</v>
      </c>
      <c r="M14" s="2" t="s">
        <v>32</v>
      </c>
      <c r="N14" s="3">
        <v>0</v>
      </c>
      <c r="O14" s="2" t="s">
        <v>33</v>
      </c>
      <c r="P14" s="2" t="s">
        <v>49</v>
      </c>
      <c r="Q14" s="4">
        <v>44167</v>
      </c>
      <c r="R14" s="4">
        <v>44229</v>
      </c>
      <c r="S14" s="3">
        <v>-1859</v>
      </c>
      <c r="T14" s="5">
        <v>0</v>
      </c>
      <c r="U14" s="2" t="s">
        <v>20</v>
      </c>
      <c r="V14" s="5">
        <v>0</v>
      </c>
      <c r="W14" s="5">
        <v>0</v>
      </c>
      <c r="X14" s="5">
        <v>0</v>
      </c>
    </row>
    <row r="15" spans="1:24" outlineLevel="2">
      <c r="M15" s="14" t="s">
        <v>742</v>
      </c>
      <c r="T15" s="5">
        <f>SUBTOTAL(9,T14:T14)</f>
        <v>0</v>
      </c>
      <c r="V15" s="5">
        <f>SUBTOTAL(9,V14:V14)</f>
        <v>0</v>
      </c>
      <c r="W15" s="5">
        <f>SUBTOTAL(9,W14:W14)</f>
        <v>0</v>
      </c>
    </row>
    <row r="16" spans="1:24" outlineLevel="1">
      <c r="A16" s="14" t="s">
        <v>680</v>
      </c>
      <c r="T16" s="5">
        <f>SUBTOTAL(9,T14:T14)</f>
        <v>0</v>
      </c>
      <c r="V16" s="5">
        <f>SUBTOTAL(9,V14:V14)</f>
        <v>0</v>
      </c>
      <c r="W16" s="5">
        <f>SUBTOTAL(9,W14:W14)</f>
        <v>0</v>
      </c>
    </row>
    <row r="17" spans="1:24" outlineLevel="3">
      <c r="A17" s="2" t="s">
        <v>50</v>
      </c>
      <c r="B17" s="3">
        <v>800203984</v>
      </c>
      <c r="C17" s="3">
        <v>0</v>
      </c>
      <c r="D17" s="2" t="s">
        <v>51</v>
      </c>
      <c r="E17" s="2">
        <v>6014220610</v>
      </c>
      <c r="F17" s="2" t="s">
        <v>52</v>
      </c>
      <c r="G17" s="2" t="s">
        <v>53</v>
      </c>
      <c r="H17" s="2" t="s">
        <v>28</v>
      </c>
      <c r="I17" s="2" t="s">
        <v>11</v>
      </c>
      <c r="J17" s="2" t="s">
        <v>54</v>
      </c>
      <c r="K17" s="2" t="s">
        <v>55</v>
      </c>
      <c r="L17" s="2" t="s">
        <v>56</v>
      </c>
      <c r="M17" s="2" t="s">
        <v>32</v>
      </c>
      <c r="N17" s="3">
        <v>0</v>
      </c>
      <c r="O17" s="2" t="s">
        <v>33</v>
      </c>
      <c r="P17" s="2" t="s">
        <v>57</v>
      </c>
      <c r="Q17" s="4">
        <v>46065</v>
      </c>
      <c r="R17" s="4">
        <v>46123</v>
      </c>
      <c r="S17" s="3">
        <v>10</v>
      </c>
      <c r="T17" s="5">
        <v>0</v>
      </c>
      <c r="U17" s="2" t="s">
        <v>58</v>
      </c>
      <c r="V17" s="5">
        <v>2935974.75</v>
      </c>
      <c r="W17" s="5">
        <v>0</v>
      </c>
      <c r="X17" s="5">
        <v>0</v>
      </c>
    </row>
    <row r="18" spans="1:24" outlineLevel="3">
      <c r="A18" s="2" t="s">
        <v>50</v>
      </c>
      <c r="B18" s="3">
        <v>800203984</v>
      </c>
      <c r="C18" s="3">
        <v>0</v>
      </c>
      <c r="D18" s="2" t="s">
        <v>51</v>
      </c>
      <c r="E18" s="2">
        <v>6014220610</v>
      </c>
      <c r="F18" s="2" t="s">
        <v>52</v>
      </c>
      <c r="G18" s="2" t="s">
        <v>53</v>
      </c>
      <c r="H18" s="2" t="s">
        <v>28</v>
      </c>
      <c r="I18" s="2" t="s">
        <v>11</v>
      </c>
      <c r="J18" s="2" t="s">
        <v>59</v>
      </c>
      <c r="K18" s="2" t="s">
        <v>55</v>
      </c>
      <c r="L18" s="2" t="s">
        <v>56</v>
      </c>
      <c r="M18" s="2" t="s">
        <v>32</v>
      </c>
      <c r="N18" s="3">
        <v>0</v>
      </c>
      <c r="O18" s="2" t="s">
        <v>33</v>
      </c>
      <c r="P18" s="2" t="s">
        <v>60</v>
      </c>
      <c r="Q18" s="4">
        <v>46078</v>
      </c>
      <c r="R18" s="4">
        <v>46136</v>
      </c>
      <c r="S18" s="3">
        <v>23</v>
      </c>
      <c r="T18" s="5">
        <v>0</v>
      </c>
      <c r="U18" s="2" t="s">
        <v>58</v>
      </c>
      <c r="V18" s="5">
        <v>2955313.75</v>
      </c>
      <c r="W18" s="5">
        <v>0</v>
      </c>
      <c r="X18" s="5">
        <v>0</v>
      </c>
    </row>
    <row r="19" spans="1:24" outlineLevel="3">
      <c r="A19" s="2" t="s">
        <v>50</v>
      </c>
      <c r="B19" s="3">
        <v>800203984</v>
      </c>
      <c r="C19" s="3">
        <v>0</v>
      </c>
      <c r="D19" s="2" t="s">
        <v>51</v>
      </c>
      <c r="E19" s="2">
        <v>6014220610</v>
      </c>
      <c r="F19" s="2" t="s">
        <v>52</v>
      </c>
      <c r="G19" s="2" t="s">
        <v>53</v>
      </c>
      <c r="H19" s="2" t="s">
        <v>28</v>
      </c>
      <c r="I19" s="2" t="s">
        <v>11</v>
      </c>
      <c r="J19" s="2" t="s">
        <v>54</v>
      </c>
      <c r="K19" s="2" t="s">
        <v>55</v>
      </c>
      <c r="L19" s="2" t="s">
        <v>56</v>
      </c>
      <c r="M19" s="2" t="s">
        <v>32</v>
      </c>
      <c r="N19" s="3">
        <v>0</v>
      </c>
      <c r="O19" s="2" t="s">
        <v>33</v>
      </c>
      <c r="P19" s="2" t="s">
        <v>61</v>
      </c>
      <c r="Q19" s="4">
        <v>46084</v>
      </c>
      <c r="R19" s="4">
        <v>46144</v>
      </c>
      <c r="S19" s="3">
        <v>31</v>
      </c>
      <c r="T19" s="5">
        <v>0</v>
      </c>
      <c r="U19" s="2" t="s">
        <v>58</v>
      </c>
      <c r="V19" s="5">
        <v>6015128</v>
      </c>
      <c r="W19" s="5">
        <v>0</v>
      </c>
      <c r="X19" s="5">
        <v>0</v>
      </c>
    </row>
    <row r="20" spans="1:24" outlineLevel="2">
      <c r="M20" s="14" t="s">
        <v>742</v>
      </c>
      <c r="T20" s="5">
        <f>SUBTOTAL(9,T17:T19)</f>
        <v>0</v>
      </c>
      <c r="V20" s="5">
        <f>SUBTOTAL(9,V17:V19)</f>
        <v>11906416.5</v>
      </c>
      <c r="W20" s="5">
        <f>SUBTOTAL(9,W17:W19)</f>
        <v>0</v>
      </c>
    </row>
    <row r="21" spans="1:24" outlineLevel="1">
      <c r="A21" s="14" t="s">
        <v>681</v>
      </c>
      <c r="T21" s="5">
        <f>SUBTOTAL(9,T17:T19)</f>
        <v>0</v>
      </c>
      <c r="V21" s="5">
        <f>SUBTOTAL(9,V17:V19)</f>
        <v>11906416.5</v>
      </c>
      <c r="W21" s="5">
        <f>SUBTOTAL(9,W17:W19)</f>
        <v>0</v>
      </c>
    </row>
    <row r="22" spans="1:24" outlineLevel="3">
      <c r="A22" s="2" t="s">
        <v>62</v>
      </c>
      <c r="B22" s="3">
        <v>800248092</v>
      </c>
      <c r="C22" s="3">
        <v>0</v>
      </c>
      <c r="D22" s="2" t="s">
        <v>63</v>
      </c>
      <c r="E22" s="2">
        <v>6789851</v>
      </c>
      <c r="F22" s="2" t="s">
        <v>64</v>
      </c>
      <c r="G22" s="2" t="s">
        <v>38</v>
      </c>
      <c r="H22" s="2" t="s">
        <v>28</v>
      </c>
      <c r="I22" s="2" t="s">
        <v>11</v>
      </c>
      <c r="J22" s="2" t="s">
        <v>65</v>
      </c>
      <c r="K22" s="2" t="s">
        <v>47</v>
      </c>
      <c r="L22" s="2" t="s">
        <v>48</v>
      </c>
      <c r="M22" s="2" t="s">
        <v>32</v>
      </c>
      <c r="N22" s="3">
        <v>0</v>
      </c>
      <c r="O22" s="2" t="s">
        <v>33</v>
      </c>
      <c r="P22" s="2" t="s">
        <v>66</v>
      </c>
      <c r="Q22" s="4">
        <v>46055</v>
      </c>
      <c r="R22" s="4">
        <v>46113</v>
      </c>
      <c r="S22" s="3">
        <v>0</v>
      </c>
      <c r="T22" s="5">
        <v>0</v>
      </c>
      <c r="U22" s="2" t="s">
        <v>20</v>
      </c>
      <c r="V22" s="5">
        <v>15980084.24</v>
      </c>
      <c r="W22" s="5">
        <v>0</v>
      </c>
      <c r="X22" s="5">
        <v>0</v>
      </c>
    </row>
    <row r="23" spans="1:24" outlineLevel="3">
      <c r="A23" s="2" t="s">
        <v>62</v>
      </c>
      <c r="B23" s="3">
        <v>800248092</v>
      </c>
      <c r="C23" s="3">
        <v>0</v>
      </c>
      <c r="D23" s="2" t="s">
        <v>63</v>
      </c>
      <c r="E23" s="2">
        <v>6789851</v>
      </c>
      <c r="F23" s="2" t="s">
        <v>64</v>
      </c>
      <c r="G23" s="2" t="s">
        <v>38</v>
      </c>
      <c r="H23" s="2" t="s">
        <v>28</v>
      </c>
      <c r="I23" s="2" t="s">
        <v>11</v>
      </c>
      <c r="J23" s="2" t="s">
        <v>67</v>
      </c>
      <c r="K23" s="2" t="s">
        <v>47</v>
      </c>
      <c r="L23" s="2" t="s">
        <v>48</v>
      </c>
      <c r="M23" s="2" t="s">
        <v>32</v>
      </c>
      <c r="N23" s="3">
        <v>0</v>
      </c>
      <c r="O23" s="2" t="s">
        <v>33</v>
      </c>
      <c r="P23" s="2" t="s">
        <v>68</v>
      </c>
      <c r="Q23" s="4">
        <v>46078</v>
      </c>
      <c r="R23" s="4">
        <v>46136</v>
      </c>
      <c r="S23" s="3">
        <v>23</v>
      </c>
      <c r="T23" s="5">
        <v>0</v>
      </c>
      <c r="U23" s="2" t="s">
        <v>58</v>
      </c>
      <c r="V23" s="5">
        <v>733745.47</v>
      </c>
      <c r="W23" s="5">
        <v>0</v>
      </c>
      <c r="X23" s="5">
        <v>0</v>
      </c>
    </row>
    <row r="24" spans="1:24" outlineLevel="3">
      <c r="A24" s="2" t="s">
        <v>62</v>
      </c>
      <c r="B24" s="3">
        <v>800248092</v>
      </c>
      <c r="C24" s="3">
        <v>0</v>
      </c>
      <c r="D24" s="2" t="s">
        <v>63</v>
      </c>
      <c r="E24" s="2">
        <v>6789851</v>
      </c>
      <c r="F24" s="2" t="s">
        <v>64</v>
      </c>
      <c r="G24" s="2" t="s">
        <v>38</v>
      </c>
      <c r="H24" s="2" t="s">
        <v>28</v>
      </c>
      <c r="I24" s="2" t="s">
        <v>11</v>
      </c>
      <c r="J24" s="2" t="s">
        <v>67</v>
      </c>
      <c r="K24" s="2" t="s">
        <v>47</v>
      </c>
      <c r="L24" s="2" t="s">
        <v>48</v>
      </c>
      <c r="M24" s="2" t="s">
        <v>32</v>
      </c>
      <c r="N24" s="3">
        <v>0</v>
      </c>
      <c r="O24" s="2" t="s">
        <v>33</v>
      </c>
      <c r="P24" s="2" t="s">
        <v>69</v>
      </c>
      <c r="Q24" s="4">
        <v>46083</v>
      </c>
      <c r="R24" s="4">
        <v>46143</v>
      </c>
      <c r="S24" s="3">
        <v>30</v>
      </c>
      <c r="T24" s="5">
        <v>0</v>
      </c>
      <c r="U24" s="2" t="s">
        <v>58</v>
      </c>
      <c r="V24" s="5">
        <v>2162203.7000000002</v>
      </c>
      <c r="W24" s="5">
        <v>0</v>
      </c>
      <c r="X24" s="5">
        <v>0</v>
      </c>
    </row>
    <row r="25" spans="1:24" outlineLevel="2">
      <c r="M25" s="14" t="s">
        <v>742</v>
      </c>
      <c r="T25" s="5">
        <f>SUBTOTAL(9,T22:T24)</f>
        <v>0</v>
      </c>
      <c r="V25" s="5">
        <f>SUBTOTAL(9,V22:V24)</f>
        <v>18876033.41</v>
      </c>
      <c r="W25" s="5">
        <f>SUBTOTAL(9,W22:W24)</f>
        <v>0</v>
      </c>
    </row>
    <row r="26" spans="1:24" outlineLevel="1">
      <c r="A26" s="14" t="s">
        <v>682</v>
      </c>
      <c r="T26" s="5">
        <f>SUBTOTAL(9,T22:T24)</f>
        <v>0</v>
      </c>
      <c r="V26" s="5">
        <f>SUBTOTAL(9,V22:V24)</f>
        <v>18876033.41</v>
      </c>
      <c r="W26" s="5">
        <f>SUBTOTAL(9,W22:W24)</f>
        <v>0</v>
      </c>
    </row>
    <row r="27" spans="1:24" outlineLevel="3">
      <c r="A27" s="2" t="s">
        <v>70</v>
      </c>
      <c r="B27" s="3">
        <v>802021602</v>
      </c>
      <c r="C27" s="3">
        <v>0</v>
      </c>
      <c r="D27" s="2" t="s">
        <v>71</v>
      </c>
      <c r="E27" s="2">
        <v>3006618654</v>
      </c>
      <c r="F27" s="2" t="s">
        <v>72</v>
      </c>
      <c r="G27" s="2" t="s">
        <v>73</v>
      </c>
      <c r="H27" s="2" t="s">
        <v>28</v>
      </c>
      <c r="I27" s="2" t="s">
        <v>11</v>
      </c>
      <c r="J27" s="2" t="s">
        <v>59</v>
      </c>
      <c r="K27" s="2" t="s">
        <v>74</v>
      </c>
      <c r="L27" s="2" t="s">
        <v>75</v>
      </c>
      <c r="M27" s="2" t="s">
        <v>32</v>
      </c>
      <c r="N27" s="3">
        <v>0</v>
      </c>
      <c r="O27" s="2" t="s">
        <v>33</v>
      </c>
      <c r="P27" s="2" t="s">
        <v>76</v>
      </c>
      <c r="Q27" s="4">
        <v>43124</v>
      </c>
      <c r="R27" s="4">
        <v>43167</v>
      </c>
      <c r="S27" s="3">
        <v>-2903</v>
      </c>
      <c r="T27" s="5">
        <v>0</v>
      </c>
      <c r="U27" s="2" t="s">
        <v>20</v>
      </c>
      <c r="V27" s="5">
        <v>4879626.5</v>
      </c>
      <c r="W27" s="5">
        <v>4879626.5</v>
      </c>
      <c r="X27" s="5">
        <v>4879626.5</v>
      </c>
    </row>
    <row r="28" spans="1:24" outlineLevel="3">
      <c r="A28" s="2" t="s">
        <v>70</v>
      </c>
      <c r="B28" s="3">
        <v>802021602</v>
      </c>
      <c r="C28" s="3">
        <v>0</v>
      </c>
      <c r="D28" s="2" t="s">
        <v>71</v>
      </c>
      <c r="E28" s="2">
        <v>3006618654</v>
      </c>
      <c r="F28" s="2" t="s">
        <v>72</v>
      </c>
      <c r="G28" s="2" t="s">
        <v>73</v>
      </c>
      <c r="H28" s="2" t="s">
        <v>28</v>
      </c>
      <c r="I28" s="2" t="s">
        <v>11</v>
      </c>
      <c r="J28" s="2" t="s">
        <v>59</v>
      </c>
      <c r="K28" s="2" t="s">
        <v>74</v>
      </c>
      <c r="L28" s="2" t="s">
        <v>75</v>
      </c>
      <c r="M28" s="2" t="s">
        <v>32</v>
      </c>
      <c r="N28" s="3">
        <v>0</v>
      </c>
      <c r="O28" s="2" t="s">
        <v>33</v>
      </c>
      <c r="P28" s="2" t="s">
        <v>77</v>
      </c>
      <c r="Q28" s="4">
        <v>43125</v>
      </c>
      <c r="R28" s="4">
        <v>43168</v>
      </c>
      <c r="S28" s="3">
        <v>-2902</v>
      </c>
      <c r="T28" s="5">
        <v>0</v>
      </c>
      <c r="U28" s="2" t="s">
        <v>20</v>
      </c>
      <c r="V28" s="5">
        <v>14280570</v>
      </c>
      <c r="W28" s="5">
        <v>14280570</v>
      </c>
      <c r="X28" s="5">
        <v>19160196.5</v>
      </c>
    </row>
    <row r="29" spans="1:24" outlineLevel="3">
      <c r="A29" s="2" t="s">
        <v>70</v>
      </c>
      <c r="B29" s="3">
        <v>802021602</v>
      </c>
      <c r="C29" s="3">
        <v>0</v>
      </c>
      <c r="D29" s="2" t="s">
        <v>71</v>
      </c>
      <c r="E29" s="2">
        <v>3006618654</v>
      </c>
      <c r="F29" s="2" t="s">
        <v>72</v>
      </c>
      <c r="G29" s="2" t="s">
        <v>73</v>
      </c>
      <c r="H29" s="2" t="s">
        <v>28</v>
      </c>
      <c r="I29" s="2" t="s">
        <v>11</v>
      </c>
      <c r="J29" s="2" t="s">
        <v>78</v>
      </c>
      <c r="K29" s="2" t="s">
        <v>74</v>
      </c>
      <c r="L29" s="2" t="s">
        <v>75</v>
      </c>
      <c r="M29" s="2" t="s">
        <v>32</v>
      </c>
      <c r="N29" s="3">
        <v>0</v>
      </c>
      <c r="O29" s="2" t="s">
        <v>33</v>
      </c>
      <c r="P29" s="2" t="s">
        <v>79</v>
      </c>
      <c r="Q29" s="4">
        <v>43362</v>
      </c>
      <c r="R29" s="4">
        <v>43407</v>
      </c>
      <c r="S29" s="3">
        <v>-2668</v>
      </c>
      <c r="T29" s="5">
        <v>0</v>
      </c>
      <c r="U29" s="2" t="s">
        <v>20</v>
      </c>
      <c r="V29" s="5">
        <v>5801700</v>
      </c>
      <c r="W29" s="5">
        <v>5801700</v>
      </c>
      <c r="X29" s="5">
        <v>24961896.5</v>
      </c>
    </row>
    <row r="30" spans="1:24" outlineLevel="3">
      <c r="A30" s="2" t="s">
        <v>70</v>
      </c>
      <c r="B30" s="3">
        <v>802021602</v>
      </c>
      <c r="C30" s="3">
        <v>0</v>
      </c>
      <c r="D30" s="2" t="s">
        <v>71</v>
      </c>
      <c r="E30" s="2">
        <v>3006618654</v>
      </c>
      <c r="F30" s="2" t="s">
        <v>72</v>
      </c>
      <c r="G30" s="2" t="s">
        <v>73</v>
      </c>
      <c r="H30" s="2" t="s">
        <v>28</v>
      </c>
      <c r="I30" s="2" t="s">
        <v>11</v>
      </c>
      <c r="J30" s="2" t="s">
        <v>78</v>
      </c>
      <c r="K30" s="2" t="s">
        <v>74</v>
      </c>
      <c r="L30" s="2" t="s">
        <v>75</v>
      </c>
      <c r="M30" s="2" t="s">
        <v>32</v>
      </c>
      <c r="N30" s="3">
        <v>0</v>
      </c>
      <c r="O30" s="2" t="s">
        <v>33</v>
      </c>
      <c r="P30" s="2" t="s">
        <v>80</v>
      </c>
      <c r="Q30" s="4">
        <v>43396</v>
      </c>
      <c r="R30" s="4">
        <v>43441</v>
      </c>
      <c r="S30" s="3">
        <v>-2634</v>
      </c>
      <c r="T30" s="5">
        <v>0</v>
      </c>
      <c r="U30" s="2" t="s">
        <v>20</v>
      </c>
      <c r="V30" s="5">
        <v>5843640</v>
      </c>
      <c r="W30" s="5">
        <v>5843640</v>
      </c>
      <c r="X30" s="5">
        <v>30805536.5</v>
      </c>
    </row>
    <row r="31" spans="1:24" outlineLevel="2">
      <c r="M31" s="14" t="s">
        <v>742</v>
      </c>
      <c r="T31" s="5">
        <f>SUBTOTAL(9,T27:T30)</f>
        <v>0</v>
      </c>
      <c r="V31" s="5">
        <f>SUBTOTAL(9,V27:V30)</f>
        <v>30805536.5</v>
      </c>
      <c r="W31" s="5">
        <f>SUBTOTAL(9,W27:W30)</f>
        <v>30805536.5</v>
      </c>
    </row>
    <row r="32" spans="1:24" outlineLevel="1">
      <c r="A32" s="14" t="s">
        <v>683</v>
      </c>
      <c r="T32" s="5">
        <f>SUBTOTAL(9,T27:T30)</f>
        <v>0</v>
      </c>
      <c r="V32" s="5">
        <f>SUBTOTAL(9,V27:V30)</f>
        <v>30805536.5</v>
      </c>
      <c r="W32" s="5">
        <f>SUBTOTAL(9,W27:W30)</f>
        <v>30805536.5</v>
      </c>
    </row>
    <row r="33" spans="1:24" outlineLevel="3">
      <c r="A33" s="2" t="s">
        <v>81</v>
      </c>
      <c r="B33" s="3">
        <v>811012461</v>
      </c>
      <c r="C33" s="3">
        <v>0</v>
      </c>
      <c r="D33" s="2" t="s">
        <v>82</v>
      </c>
      <c r="E33" s="2">
        <v>8759045</v>
      </c>
      <c r="F33" s="2" t="s">
        <v>83</v>
      </c>
      <c r="G33" s="2" t="s">
        <v>84</v>
      </c>
      <c r="H33" s="2" t="s">
        <v>28</v>
      </c>
      <c r="I33" s="2" t="s">
        <v>11</v>
      </c>
      <c r="J33" s="2" t="s">
        <v>59</v>
      </c>
      <c r="K33" s="2" t="s">
        <v>85</v>
      </c>
      <c r="L33" s="2" t="s">
        <v>86</v>
      </c>
      <c r="M33" s="2" t="s">
        <v>32</v>
      </c>
      <c r="N33" s="3">
        <v>0</v>
      </c>
      <c r="O33" s="2" t="s">
        <v>33</v>
      </c>
      <c r="P33" s="2" t="s">
        <v>87</v>
      </c>
      <c r="Q33" s="4">
        <v>42789</v>
      </c>
      <c r="R33" s="4">
        <v>42816</v>
      </c>
      <c r="S33" s="3">
        <v>-3249</v>
      </c>
      <c r="T33" s="5">
        <v>0</v>
      </c>
      <c r="U33" s="2" t="s">
        <v>20</v>
      </c>
      <c r="V33" s="5">
        <v>260768.51</v>
      </c>
      <c r="W33" s="5">
        <v>260768.51</v>
      </c>
      <c r="X33" s="5">
        <v>260768.51</v>
      </c>
    </row>
    <row r="34" spans="1:24" outlineLevel="3">
      <c r="A34" s="2" t="s">
        <v>81</v>
      </c>
      <c r="B34" s="3">
        <v>811012461</v>
      </c>
      <c r="C34" s="3">
        <v>0</v>
      </c>
      <c r="D34" s="2" t="s">
        <v>82</v>
      </c>
      <c r="E34" s="2">
        <v>8759045</v>
      </c>
      <c r="F34" s="2" t="s">
        <v>83</v>
      </c>
      <c r="G34" s="2" t="s">
        <v>84</v>
      </c>
      <c r="H34" s="2" t="s">
        <v>28</v>
      </c>
      <c r="I34" s="2" t="s">
        <v>11</v>
      </c>
      <c r="J34" s="2" t="s">
        <v>29</v>
      </c>
      <c r="K34" s="2" t="s">
        <v>85</v>
      </c>
      <c r="L34" s="2" t="s">
        <v>86</v>
      </c>
      <c r="M34" s="2" t="s">
        <v>32</v>
      </c>
      <c r="N34" s="3">
        <v>0</v>
      </c>
      <c r="O34" s="2" t="s">
        <v>33</v>
      </c>
      <c r="P34" s="2" t="s">
        <v>88</v>
      </c>
      <c r="Q34" s="4">
        <v>42789</v>
      </c>
      <c r="R34" s="4">
        <v>42816</v>
      </c>
      <c r="S34" s="3">
        <v>-3249</v>
      </c>
      <c r="T34" s="5">
        <v>0</v>
      </c>
      <c r="U34" s="2" t="s">
        <v>20</v>
      </c>
      <c r="V34" s="5">
        <v>442680</v>
      </c>
      <c r="W34" s="5">
        <v>442680</v>
      </c>
      <c r="X34" s="5">
        <v>703448.51</v>
      </c>
    </row>
    <row r="35" spans="1:24" outlineLevel="3">
      <c r="A35" s="2" t="s">
        <v>81</v>
      </c>
      <c r="B35" s="3">
        <v>811012461</v>
      </c>
      <c r="C35" s="3">
        <v>0</v>
      </c>
      <c r="D35" s="2" t="s">
        <v>82</v>
      </c>
      <c r="E35" s="2">
        <v>8759045</v>
      </c>
      <c r="F35" s="2" t="s">
        <v>83</v>
      </c>
      <c r="G35" s="2" t="s">
        <v>84</v>
      </c>
      <c r="H35" s="2" t="s">
        <v>28</v>
      </c>
      <c r="I35" s="2" t="s">
        <v>11</v>
      </c>
      <c r="J35" s="2" t="s">
        <v>29</v>
      </c>
      <c r="K35" s="2" t="s">
        <v>85</v>
      </c>
      <c r="L35" s="2" t="s">
        <v>86</v>
      </c>
      <c r="M35" s="2" t="s">
        <v>32</v>
      </c>
      <c r="N35" s="3">
        <v>0</v>
      </c>
      <c r="O35" s="2" t="s">
        <v>33</v>
      </c>
      <c r="P35" s="2" t="s">
        <v>89</v>
      </c>
      <c r="Q35" s="4">
        <v>42800</v>
      </c>
      <c r="R35" s="4">
        <v>42860</v>
      </c>
      <c r="S35" s="3">
        <v>-3206</v>
      </c>
      <c r="T35" s="5">
        <v>0</v>
      </c>
      <c r="U35" s="2" t="s">
        <v>20</v>
      </c>
      <c r="V35" s="5">
        <v>417690</v>
      </c>
      <c r="W35" s="5">
        <v>417690</v>
      </c>
      <c r="X35" s="5">
        <v>1121138.51</v>
      </c>
    </row>
    <row r="36" spans="1:24" outlineLevel="3">
      <c r="A36" s="2" t="s">
        <v>81</v>
      </c>
      <c r="B36" s="3">
        <v>811012461</v>
      </c>
      <c r="C36" s="3">
        <v>0</v>
      </c>
      <c r="D36" s="2" t="s">
        <v>82</v>
      </c>
      <c r="E36" s="2">
        <v>8759045</v>
      </c>
      <c r="F36" s="2" t="s">
        <v>83</v>
      </c>
      <c r="G36" s="2" t="s">
        <v>84</v>
      </c>
      <c r="H36" s="2" t="s">
        <v>28</v>
      </c>
      <c r="I36" s="2" t="s">
        <v>11</v>
      </c>
      <c r="J36" s="2" t="s">
        <v>29</v>
      </c>
      <c r="K36" s="2" t="s">
        <v>85</v>
      </c>
      <c r="L36" s="2" t="s">
        <v>86</v>
      </c>
      <c r="M36" s="2" t="s">
        <v>32</v>
      </c>
      <c r="N36" s="3">
        <v>0</v>
      </c>
      <c r="O36" s="2" t="s">
        <v>33</v>
      </c>
      <c r="P36" s="2" t="s">
        <v>90</v>
      </c>
      <c r="Q36" s="4">
        <v>42810</v>
      </c>
      <c r="R36" s="4">
        <v>42870</v>
      </c>
      <c r="S36" s="3">
        <v>-3196</v>
      </c>
      <c r="T36" s="5">
        <v>0</v>
      </c>
      <c r="U36" s="2" t="s">
        <v>20</v>
      </c>
      <c r="V36" s="5">
        <v>618800</v>
      </c>
      <c r="W36" s="5">
        <v>618800</v>
      </c>
      <c r="X36" s="5">
        <v>1739938.51</v>
      </c>
    </row>
    <row r="37" spans="1:24" outlineLevel="3">
      <c r="A37" s="2" t="s">
        <v>81</v>
      </c>
      <c r="B37" s="3">
        <v>811012461</v>
      </c>
      <c r="C37" s="3">
        <v>0</v>
      </c>
      <c r="D37" s="2" t="s">
        <v>82</v>
      </c>
      <c r="E37" s="2">
        <v>8759045</v>
      </c>
      <c r="F37" s="2" t="s">
        <v>83</v>
      </c>
      <c r="G37" s="2" t="s">
        <v>84</v>
      </c>
      <c r="H37" s="2" t="s">
        <v>28</v>
      </c>
      <c r="I37" s="2" t="s">
        <v>11</v>
      </c>
      <c r="J37" s="2" t="s">
        <v>29</v>
      </c>
      <c r="K37" s="2" t="s">
        <v>85</v>
      </c>
      <c r="L37" s="2" t="s">
        <v>86</v>
      </c>
      <c r="M37" s="2" t="s">
        <v>32</v>
      </c>
      <c r="N37" s="3">
        <v>0</v>
      </c>
      <c r="O37" s="2" t="s">
        <v>33</v>
      </c>
      <c r="P37" s="2" t="s">
        <v>91</v>
      </c>
      <c r="Q37" s="4">
        <v>42829</v>
      </c>
      <c r="R37" s="4">
        <v>42889</v>
      </c>
      <c r="S37" s="3">
        <v>-3178</v>
      </c>
      <c r="T37" s="5">
        <v>0</v>
      </c>
      <c r="U37" s="2" t="s">
        <v>20</v>
      </c>
      <c r="V37" s="5">
        <v>294882</v>
      </c>
      <c r="W37" s="5">
        <v>294882</v>
      </c>
      <c r="X37" s="5">
        <v>2034820.51</v>
      </c>
    </row>
    <row r="38" spans="1:24" outlineLevel="3">
      <c r="A38" s="2" t="s">
        <v>81</v>
      </c>
      <c r="B38" s="3">
        <v>811012461</v>
      </c>
      <c r="C38" s="3">
        <v>0</v>
      </c>
      <c r="D38" s="2" t="s">
        <v>82</v>
      </c>
      <c r="E38" s="2">
        <v>8759045</v>
      </c>
      <c r="F38" s="2" t="s">
        <v>83</v>
      </c>
      <c r="G38" s="2" t="s">
        <v>84</v>
      </c>
      <c r="H38" s="2" t="s">
        <v>28</v>
      </c>
      <c r="I38" s="2" t="s">
        <v>11</v>
      </c>
      <c r="J38" s="2" t="s">
        <v>29</v>
      </c>
      <c r="K38" s="2" t="s">
        <v>85</v>
      </c>
      <c r="L38" s="2" t="s">
        <v>86</v>
      </c>
      <c r="M38" s="2" t="s">
        <v>32</v>
      </c>
      <c r="N38" s="3">
        <v>0</v>
      </c>
      <c r="O38" s="2" t="s">
        <v>33</v>
      </c>
      <c r="P38" s="2" t="s">
        <v>92</v>
      </c>
      <c r="Q38" s="4">
        <v>42830</v>
      </c>
      <c r="R38" s="4">
        <v>42890</v>
      </c>
      <c r="S38" s="3">
        <v>-3177</v>
      </c>
      <c r="T38" s="5">
        <v>0</v>
      </c>
      <c r="U38" s="2" t="s">
        <v>20</v>
      </c>
      <c r="V38" s="5">
        <v>2861820.8</v>
      </c>
      <c r="W38" s="5">
        <v>2861820.8</v>
      </c>
      <c r="X38" s="5">
        <v>4896641.3099999996</v>
      </c>
    </row>
    <row r="39" spans="1:24" outlineLevel="3">
      <c r="A39" s="2" t="s">
        <v>81</v>
      </c>
      <c r="B39" s="3">
        <v>811012461</v>
      </c>
      <c r="C39" s="3">
        <v>0</v>
      </c>
      <c r="D39" s="2" t="s">
        <v>82</v>
      </c>
      <c r="E39" s="2">
        <v>8759045</v>
      </c>
      <c r="F39" s="2" t="s">
        <v>83</v>
      </c>
      <c r="G39" s="2" t="s">
        <v>84</v>
      </c>
      <c r="H39" s="2" t="s">
        <v>28</v>
      </c>
      <c r="I39" s="2" t="s">
        <v>11</v>
      </c>
      <c r="J39" s="2" t="s">
        <v>93</v>
      </c>
      <c r="K39" s="2" t="s">
        <v>85</v>
      </c>
      <c r="L39" s="2" t="s">
        <v>86</v>
      </c>
      <c r="M39" s="2" t="s">
        <v>32</v>
      </c>
      <c r="N39" s="3">
        <v>0</v>
      </c>
      <c r="O39" s="2" t="s">
        <v>33</v>
      </c>
      <c r="P39" s="2" t="s">
        <v>94</v>
      </c>
      <c r="Q39" s="4">
        <v>42845</v>
      </c>
      <c r="R39" s="4">
        <v>42905</v>
      </c>
      <c r="S39" s="3">
        <v>-3162</v>
      </c>
      <c r="T39" s="5">
        <v>0</v>
      </c>
      <c r="U39" s="2" t="s">
        <v>20</v>
      </c>
      <c r="V39" s="5">
        <v>428323.84000000003</v>
      </c>
      <c r="W39" s="5">
        <v>428323.84000000003</v>
      </c>
      <c r="X39" s="5">
        <v>5324965.1500000004</v>
      </c>
    </row>
    <row r="40" spans="1:24" outlineLevel="3">
      <c r="A40" s="2" t="s">
        <v>81</v>
      </c>
      <c r="B40" s="3">
        <v>811012461</v>
      </c>
      <c r="C40" s="3">
        <v>0</v>
      </c>
      <c r="D40" s="2" t="s">
        <v>82</v>
      </c>
      <c r="E40" s="2">
        <v>8759045</v>
      </c>
      <c r="F40" s="2" t="s">
        <v>83</v>
      </c>
      <c r="G40" s="2" t="s">
        <v>84</v>
      </c>
      <c r="H40" s="2" t="s">
        <v>28</v>
      </c>
      <c r="I40" s="2" t="s">
        <v>11</v>
      </c>
      <c r="J40" s="2" t="s">
        <v>93</v>
      </c>
      <c r="K40" s="2" t="s">
        <v>85</v>
      </c>
      <c r="L40" s="2" t="s">
        <v>86</v>
      </c>
      <c r="M40" s="2" t="s">
        <v>32</v>
      </c>
      <c r="N40" s="3">
        <v>0</v>
      </c>
      <c r="O40" s="2" t="s">
        <v>33</v>
      </c>
      <c r="P40" s="2" t="s">
        <v>95</v>
      </c>
      <c r="Q40" s="4">
        <v>42852</v>
      </c>
      <c r="R40" s="4">
        <v>42912</v>
      </c>
      <c r="S40" s="3">
        <v>-3155</v>
      </c>
      <c r="T40" s="5">
        <v>0</v>
      </c>
      <c r="U40" s="2" t="s">
        <v>20</v>
      </c>
      <c r="V40" s="5">
        <v>297309.59999999998</v>
      </c>
      <c r="W40" s="5">
        <v>297309.59999999998</v>
      </c>
      <c r="X40" s="5">
        <v>5622274.75</v>
      </c>
    </row>
    <row r="41" spans="1:24" outlineLevel="3">
      <c r="A41" s="2" t="s">
        <v>81</v>
      </c>
      <c r="B41" s="3">
        <v>811012461</v>
      </c>
      <c r="C41" s="3">
        <v>0</v>
      </c>
      <c r="D41" s="2" t="s">
        <v>82</v>
      </c>
      <c r="E41" s="2">
        <v>8759045</v>
      </c>
      <c r="F41" s="2" t="s">
        <v>83</v>
      </c>
      <c r="G41" s="2" t="s">
        <v>84</v>
      </c>
      <c r="H41" s="2" t="s">
        <v>28</v>
      </c>
      <c r="I41" s="2" t="s">
        <v>11</v>
      </c>
      <c r="J41" s="2" t="s">
        <v>93</v>
      </c>
      <c r="K41" s="2" t="s">
        <v>85</v>
      </c>
      <c r="L41" s="2" t="s">
        <v>86</v>
      </c>
      <c r="M41" s="2" t="s">
        <v>32</v>
      </c>
      <c r="N41" s="3">
        <v>0</v>
      </c>
      <c r="O41" s="2" t="s">
        <v>33</v>
      </c>
      <c r="P41" s="2" t="s">
        <v>96</v>
      </c>
      <c r="Q41" s="4">
        <v>42852</v>
      </c>
      <c r="R41" s="4">
        <v>42912</v>
      </c>
      <c r="S41" s="3">
        <v>-3155</v>
      </c>
      <c r="T41" s="5">
        <v>0</v>
      </c>
      <c r="U41" s="2" t="s">
        <v>20</v>
      </c>
      <c r="V41" s="5">
        <v>468497.05</v>
      </c>
      <c r="W41" s="5">
        <v>468497.05</v>
      </c>
      <c r="X41" s="5">
        <v>6090771.7999999998</v>
      </c>
    </row>
    <row r="42" spans="1:24" outlineLevel="3">
      <c r="A42" s="2" t="s">
        <v>81</v>
      </c>
      <c r="B42" s="3">
        <v>811012461</v>
      </c>
      <c r="C42" s="3">
        <v>0</v>
      </c>
      <c r="D42" s="2" t="s">
        <v>82</v>
      </c>
      <c r="E42" s="2">
        <v>8759045</v>
      </c>
      <c r="F42" s="2" t="s">
        <v>83</v>
      </c>
      <c r="G42" s="2" t="s">
        <v>84</v>
      </c>
      <c r="H42" s="2" t="s">
        <v>28</v>
      </c>
      <c r="I42" s="2" t="s">
        <v>11</v>
      </c>
      <c r="J42" s="2" t="s">
        <v>93</v>
      </c>
      <c r="K42" s="2" t="s">
        <v>85</v>
      </c>
      <c r="L42" s="2" t="s">
        <v>86</v>
      </c>
      <c r="M42" s="2" t="s">
        <v>32</v>
      </c>
      <c r="N42" s="3">
        <v>0</v>
      </c>
      <c r="O42" s="2" t="s">
        <v>33</v>
      </c>
      <c r="P42" s="2" t="s">
        <v>97</v>
      </c>
      <c r="Q42" s="4">
        <v>42860</v>
      </c>
      <c r="R42" s="4">
        <v>42920</v>
      </c>
      <c r="S42" s="3">
        <v>-3147</v>
      </c>
      <c r="T42" s="5">
        <v>0</v>
      </c>
      <c r="U42" s="2" t="s">
        <v>20</v>
      </c>
      <c r="V42" s="5">
        <v>952000</v>
      </c>
      <c r="W42" s="5">
        <v>952000</v>
      </c>
      <c r="X42" s="5">
        <v>7042771.7999999998</v>
      </c>
    </row>
    <row r="43" spans="1:24" outlineLevel="3">
      <c r="A43" s="2" t="s">
        <v>81</v>
      </c>
      <c r="B43" s="3">
        <v>811012461</v>
      </c>
      <c r="C43" s="3">
        <v>0</v>
      </c>
      <c r="D43" s="2" t="s">
        <v>82</v>
      </c>
      <c r="E43" s="2">
        <v>8759045</v>
      </c>
      <c r="F43" s="2" t="s">
        <v>83</v>
      </c>
      <c r="G43" s="2" t="s">
        <v>84</v>
      </c>
      <c r="H43" s="2" t="s">
        <v>28</v>
      </c>
      <c r="I43" s="2" t="s">
        <v>11</v>
      </c>
      <c r="J43" s="2" t="s">
        <v>93</v>
      </c>
      <c r="K43" s="2" t="s">
        <v>85</v>
      </c>
      <c r="L43" s="2" t="s">
        <v>86</v>
      </c>
      <c r="M43" s="2" t="s">
        <v>32</v>
      </c>
      <c r="N43" s="3">
        <v>0</v>
      </c>
      <c r="O43" s="2" t="s">
        <v>33</v>
      </c>
      <c r="P43" s="2" t="s">
        <v>98</v>
      </c>
      <c r="Q43" s="4">
        <v>42866</v>
      </c>
      <c r="R43" s="4">
        <v>42926</v>
      </c>
      <c r="S43" s="3">
        <v>-3141</v>
      </c>
      <c r="T43" s="5">
        <v>0</v>
      </c>
      <c r="U43" s="2" t="s">
        <v>20</v>
      </c>
      <c r="V43" s="5">
        <v>1057027.3600000001</v>
      </c>
      <c r="W43" s="5">
        <v>1057027.3600000001</v>
      </c>
      <c r="X43" s="5">
        <v>8099799.1600000001</v>
      </c>
    </row>
    <row r="44" spans="1:24" outlineLevel="3">
      <c r="A44" s="2" t="s">
        <v>81</v>
      </c>
      <c r="B44" s="3">
        <v>811012461</v>
      </c>
      <c r="C44" s="3">
        <v>0</v>
      </c>
      <c r="D44" s="2" t="s">
        <v>82</v>
      </c>
      <c r="E44" s="2">
        <v>8759045</v>
      </c>
      <c r="F44" s="2" t="s">
        <v>83</v>
      </c>
      <c r="G44" s="2" t="s">
        <v>84</v>
      </c>
      <c r="H44" s="2" t="s">
        <v>28</v>
      </c>
      <c r="I44" s="2" t="s">
        <v>11</v>
      </c>
      <c r="J44" s="2" t="s">
        <v>93</v>
      </c>
      <c r="K44" s="2" t="s">
        <v>85</v>
      </c>
      <c r="L44" s="2" t="s">
        <v>86</v>
      </c>
      <c r="M44" s="2" t="s">
        <v>32</v>
      </c>
      <c r="N44" s="3">
        <v>0</v>
      </c>
      <c r="O44" s="2" t="s">
        <v>33</v>
      </c>
      <c r="P44" s="2" t="s">
        <v>99</v>
      </c>
      <c r="Q44" s="4">
        <v>42893</v>
      </c>
      <c r="R44" s="4">
        <v>42953</v>
      </c>
      <c r="S44" s="3">
        <v>-3115</v>
      </c>
      <c r="T44" s="5">
        <v>0</v>
      </c>
      <c r="U44" s="2" t="s">
        <v>20</v>
      </c>
      <c r="V44" s="5">
        <v>32890</v>
      </c>
      <c r="W44" s="5">
        <v>32890</v>
      </c>
      <c r="X44" s="5">
        <v>8132689.1600000001</v>
      </c>
    </row>
    <row r="45" spans="1:24" outlineLevel="3">
      <c r="A45" s="2" t="s">
        <v>81</v>
      </c>
      <c r="B45" s="3">
        <v>811012461</v>
      </c>
      <c r="C45" s="3">
        <v>0</v>
      </c>
      <c r="D45" s="2" t="s">
        <v>82</v>
      </c>
      <c r="E45" s="2">
        <v>8759045</v>
      </c>
      <c r="F45" s="2" t="s">
        <v>83</v>
      </c>
      <c r="G45" s="2" t="s">
        <v>84</v>
      </c>
      <c r="H45" s="2" t="s">
        <v>28</v>
      </c>
      <c r="I45" s="2" t="s">
        <v>11</v>
      </c>
      <c r="J45" s="2" t="s">
        <v>29</v>
      </c>
      <c r="K45" s="2" t="s">
        <v>85</v>
      </c>
      <c r="L45" s="2" t="s">
        <v>86</v>
      </c>
      <c r="M45" s="2" t="s">
        <v>32</v>
      </c>
      <c r="N45" s="3">
        <v>0</v>
      </c>
      <c r="O45" s="2" t="s">
        <v>33</v>
      </c>
      <c r="P45" s="2" t="s">
        <v>100</v>
      </c>
      <c r="Q45" s="4">
        <v>42779</v>
      </c>
      <c r="R45" s="4">
        <v>43235</v>
      </c>
      <c r="S45" s="3">
        <v>-2836</v>
      </c>
      <c r="T45" s="5">
        <v>0</v>
      </c>
      <c r="U45" s="2" t="s">
        <v>20</v>
      </c>
      <c r="V45" s="5">
        <v>215845</v>
      </c>
      <c r="W45" s="5">
        <v>215845</v>
      </c>
      <c r="X45" s="5">
        <v>8348534.1600000001</v>
      </c>
    </row>
    <row r="46" spans="1:24" outlineLevel="3">
      <c r="A46" s="2" t="s">
        <v>81</v>
      </c>
      <c r="B46" s="3">
        <v>811012461</v>
      </c>
      <c r="C46" s="3">
        <v>0</v>
      </c>
      <c r="D46" s="2" t="s">
        <v>82</v>
      </c>
      <c r="E46" s="2">
        <v>8759045</v>
      </c>
      <c r="F46" s="2" t="s">
        <v>83</v>
      </c>
      <c r="G46" s="2" t="s">
        <v>84</v>
      </c>
      <c r="H46" s="2" t="s">
        <v>28</v>
      </c>
      <c r="I46" s="2" t="s">
        <v>11</v>
      </c>
      <c r="J46" s="2" t="s">
        <v>93</v>
      </c>
      <c r="K46" s="2" t="s">
        <v>85</v>
      </c>
      <c r="L46" s="2" t="s">
        <v>86</v>
      </c>
      <c r="M46" s="2" t="s">
        <v>32</v>
      </c>
      <c r="N46" s="3">
        <v>0</v>
      </c>
      <c r="O46" s="2" t="s">
        <v>33</v>
      </c>
      <c r="P46" s="2" t="s">
        <v>101</v>
      </c>
      <c r="Q46" s="4">
        <v>43185</v>
      </c>
      <c r="R46" s="4">
        <v>43246</v>
      </c>
      <c r="S46" s="3">
        <v>-2825</v>
      </c>
      <c r="T46" s="5">
        <v>0</v>
      </c>
      <c r="U46" s="2" t="s">
        <v>20</v>
      </c>
      <c r="V46" s="5">
        <v>2649920</v>
      </c>
      <c r="W46" s="5">
        <v>2649920</v>
      </c>
      <c r="X46" s="5">
        <v>10998454.16</v>
      </c>
    </row>
    <row r="47" spans="1:24" outlineLevel="3">
      <c r="A47" s="2" t="s">
        <v>81</v>
      </c>
      <c r="B47" s="3">
        <v>811012461</v>
      </c>
      <c r="C47" s="3">
        <v>0</v>
      </c>
      <c r="D47" s="2" t="s">
        <v>82</v>
      </c>
      <c r="E47" s="2">
        <v>8759045</v>
      </c>
      <c r="F47" s="2" t="s">
        <v>83</v>
      </c>
      <c r="G47" s="2" t="s">
        <v>84</v>
      </c>
      <c r="H47" s="2" t="s">
        <v>28</v>
      </c>
      <c r="I47" s="2" t="s">
        <v>11</v>
      </c>
      <c r="J47" s="2" t="s">
        <v>93</v>
      </c>
      <c r="K47" s="2" t="s">
        <v>85</v>
      </c>
      <c r="L47" s="2" t="s">
        <v>86</v>
      </c>
      <c r="M47" s="2" t="s">
        <v>32</v>
      </c>
      <c r="N47" s="3">
        <v>0</v>
      </c>
      <c r="O47" s="2" t="s">
        <v>33</v>
      </c>
      <c r="P47" s="2" t="s">
        <v>102</v>
      </c>
      <c r="Q47" s="4">
        <v>43244</v>
      </c>
      <c r="R47" s="4">
        <v>43304</v>
      </c>
      <c r="S47" s="3">
        <v>-2768</v>
      </c>
      <c r="T47" s="5">
        <v>0</v>
      </c>
      <c r="U47" s="2" t="s">
        <v>20</v>
      </c>
      <c r="V47" s="5">
        <v>2812.5</v>
      </c>
      <c r="W47" s="5">
        <v>2812.5</v>
      </c>
      <c r="X47" s="5">
        <v>11001266.66</v>
      </c>
    </row>
    <row r="48" spans="1:24" outlineLevel="3">
      <c r="A48" s="2" t="s">
        <v>81</v>
      </c>
      <c r="B48" s="3">
        <v>811012461</v>
      </c>
      <c r="C48" s="3">
        <v>0</v>
      </c>
      <c r="D48" s="2" t="s">
        <v>82</v>
      </c>
      <c r="E48" s="2">
        <v>8759045</v>
      </c>
      <c r="F48" s="2" t="s">
        <v>83</v>
      </c>
      <c r="G48" s="2" t="s">
        <v>84</v>
      </c>
      <c r="H48" s="2" t="s">
        <v>28</v>
      </c>
      <c r="I48" s="2" t="s">
        <v>11</v>
      </c>
      <c r="J48" s="2" t="s">
        <v>93</v>
      </c>
      <c r="K48" s="2" t="s">
        <v>85</v>
      </c>
      <c r="L48" s="2" t="s">
        <v>86</v>
      </c>
      <c r="M48" s="2" t="s">
        <v>32</v>
      </c>
      <c r="N48" s="3">
        <v>0</v>
      </c>
      <c r="O48" s="2" t="s">
        <v>33</v>
      </c>
      <c r="P48" s="2" t="s">
        <v>103</v>
      </c>
      <c r="Q48" s="4">
        <v>43805</v>
      </c>
      <c r="R48" s="4">
        <v>43866</v>
      </c>
      <c r="S48" s="3">
        <v>-2216</v>
      </c>
      <c r="T48" s="5">
        <v>0</v>
      </c>
      <c r="U48" s="2" t="s">
        <v>20</v>
      </c>
      <c r="V48" s="5">
        <v>23277.05</v>
      </c>
      <c r="W48" s="5">
        <v>23277.05</v>
      </c>
      <c r="X48" s="5">
        <v>11024543.710000001</v>
      </c>
    </row>
    <row r="49" spans="1:24" outlineLevel="3">
      <c r="A49" s="2" t="s">
        <v>81</v>
      </c>
      <c r="B49" s="3">
        <v>811012461</v>
      </c>
      <c r="C49" s="3">
        <v>0</v>
      </c>
      <c r="D49" s="2" t="s">
        <v>82</v>
      </c>
      <c r="E49" s="2">
        <v>8759045</v>
      </c>
      <c r="F49" s="2" t="s">
        <v>83</v>
      </c>
      <c r="G49" s="2" t="s">
        <v>84</v>
      </c>
      <c r="H49" s="2" t="s">
        <v>28</v>
      </c>
      <c r="I49" s="2" t="s">
        <v>11</v>
      </c>
      <c r="J49" s="2" t="s">
        <v>29</v>
      </c>
      <c r="K49" s="2" t="s">
        <v>85</v>
      </c>
      <c r="L49" s="2" t="s">
        <v>86</v>
      </c>
      <c r="M49" s="2" t="s">
        <v>32</v>
      </c>
      <c r="N49" s="3">
        <v>0</v>
      </c>
      <c r="O49" s="2" t="s">
        <v>33</v>
      </c>
      <c r="P49" s="2" t="s">
        <v>104</v>
      </c>
      <c r="Q49" s="4">
        <v>44893</v>
      </c>
      <c r="R49" s="4">
        <v>44938</v>
      </c>
      <c r="S49" s="3">
        <v>-1159</v>
      </c>
      <c r="T49" s="5">
        <v>0</v>
      </c>
      <c r="U49" s="2" t="s">
        <v>20</v>
      </c>
      <c r="V49" s="5">
        <v>0</v>
      </c>
      <c r="W49" s="5">
        <v>0</v>
      </c>
      <c r="X49" s="5">
        <v>11024543.710000001</v>
      </c>
    </row>
    <row r="50" spans="1:24" outlineLevel="3">
      <c r="A50" s="2" t="s">
        <v>81</v>
      </c>
      <c r="B50" s="3">
        <v>811012461</v>
      </c>
      <c r="C50" s="3">
        <v>0</v>
      </c>
      <c r="D50" s="2" t="s">
        <v>82</v>
      </c>
      <c r="E50" s="2">
        <v>8759045</v>
      </c>
      <c r="F50" s="2" t="s">
        <v>83</v>
      </c>
      <c r="G50" s="2" t="s">
        <v>84</v>
      </c>
      <c r="H50" s="2" t="s">
        <v>28</v>
      </c>
      <c r="I50" s="2" t="s">
        <v>11</v>
      </c>
      <c r="J50" s="2" t="s">
        <v>59</v>
      </c>
      <c r="K50" s="2" t="s">
        <v>85</v>
      </c>
      <c r="L50" s="2" t="s">
        <v>86</v>
      </c>
      <c r="M50" s="2" t="s">
        <v>32</v>
      </c>
      <c r="N50" s="3">
        <v>0</v>
      </c>
      <c r="O50" s="2" t="s">
        <v>33</v>
      </c>
      <c r="P50" s="2" t="s">
        <v>105</v>
      </c>
      <c r="Q50" s="4">
        <v>45278</v>
      </c>
      <c r="R50" s="4">
        <v>45324</v>
      </c>
      <c r="S50" s="3">
        <v>-779</v>
      </c>
      <c r="T50" s="5">
        <v>0</v>
      </c>
      <c r="U50" s="2" t="s">
        <v>20</v>
      </c>
      <c r="V50" s="5">
        <v>2759629.48</v>
      </c>
      <c r="W50" s="5">
        <v>2759629.48</v>
      </c>
      <c r="X50" s="5">
        <v>13784173.189999999</v>
      </c>
    </row>
    <row r="51" spans="1:24" outlineLevel="3">
      <c r="A51" s="2" t="s">
        <v>81</v>
      </c>
      <c r="B51" s="3">
        <v>811012461</v>
      </c>
      <c r="C51" s="3">
        <v>0</v>
      </c>
      <c r="D51" s="2" t="s">
        <v>82</v>
      </c>
      <c r="E51" s="2">
        <v>8759045</v>
      </c>
      <c r="F51" s="2" t="s">
        <v>83</v>
      </c>
      <c r="G51" s="2" t="s">
        <v>84</v>
      </c>
      <c r="H51" s="2" t="s">
        <v>28</v>
      </c>
      <c r="I51" s="2" t="s">
        <v>11</v>
      </c>
      <c r="J51" s="2" t="s">
        <v>106</v>
      </c>
      <c r="K51" s="2" t="s">
        <v>85</v>
      </c>
      <c r="L51" s="2" t="s">
        <v>86</v>
      </c>
      <c r="M51" s="2" t="s">
        <v>32</v>
      </c>
      <c r="N51" s="3">
        <v>0</v>
      </c>
      <c r="O51" s="2" t="s">
        <v>33</v>
      </c>
      <c r="P51" s="2" t="s">
        <v>107</v>
      </c>
      <c r="Q51" s="4">
        <v>45488</v>
      </c>
      <c r="R51" s="4">
        <v>45533</v>
      </c>
      <c r="S51" s="3">
        <v>-572</v>
      </c>
      <c r="T51" s="5">
        <v>0</v>
      </c>
      <c r="U51" s="2" t="s">
        <v>20</v>
      </c>
      <c r="V51" s="5">
        <v>8667833</v>
      </c>
      <c r="W51" s="5">
        <v>8667833</v>
      </c>
      <c r="X51" s="5">
        <v>22452006.190000001</v>
      </c>
    </row>
    <row r="52" spans="1:24" outlineLevel="3">
      <c r="A52" s="2" t="s">
        <v>81</v>
      </c>
      <c r="B52" s="3">
        <v>811012461</v>
      </c>
      <c r="C52" s="3">
        <v>0</v>
      </c>
      <c r="D52" s="2" t="s">
        <v>82</v>
      </c>
      <c r="E52" s="2">
        <v>8759045</v>
      </c>
      <c r="F52" s="2" t="s">
        <v>83</v>
      </c>
      <c r="G52" s="2" t="s">
        <v>84</v>
      </c>
      <c r="H52" s="2" t="s">
        <v>28</v>
      </c>
      <c r="I52" s="2" t="s">
        <v>11</v>
      </c>
      <c r="J52" s="2" t="s">
        <v>106</v>
      </c>
      <c r="K52" s="2" t="s">
        <v>85</v>
      </c>
      <c r="L52" s="2" t="s">
        <v>86</v>
      </c>
      <c r="M52" s="2" t="s">
        <v>32</v>
      </c>
      <c r="N52" s="3">
        <v>0</v>
      </c>
      <c r="O52" s="2" t="s">
        <v>33</v>
      </c>
      <c r="P52" s="2" t="s">
        <v>108</v>
      </c>
      <c r="Q52" s="4">
        <v>45488</v>
      </c>
      <c r="R52" s="4">
        <v>45533</v>
      </c>
      <c r="S52" s="3">
        <v>-572</v>
      </c>
      <c r="T52" s="5">
        <v>0</v>
      </c>
      <c r="U52" s="2" t="s">
        <v>20</v>
      </c>
      <c r="V52" s="5">
        <v>2282543.7200000002</v>
      </c>
      <c r="W52" s="5">
        <v>2282543.7200000002</v>
      </c>
      <c r="X52" s="5">
        <v>24734549.91</v>
      </c>
    </row>
    <row r="53" spans="1:24" outlineLevel="3">
      <c r="A53" s="2" t="s">
        <v>81</v>
      </c>
      <c r="B53" s="3">
        <v>811012461</v>
      </c>
      <c r="C53" s="3">
        <v>0</v>
      </c>
      <c r="D53" s="2" t="s">
        <v>82</v>
      </c>
      <c r="E53" s="2">
        <v>8759045</v>
      </c>
      <c r="F53" s="2" t="s">
        <v>83</v>
      </c>
      <c r="G53" s="2" t="s">
        <v>84</v>
      </c>
      <c r="H53" s="2" t="s">
        <v>28</v>
      </c>
      <c r="I53" s="2" t="s">
        <v>11</v>
      </c>
      <c r="J53" s="2" t="s">
        <v>106</v>
      </c>
      <c r="K53" s="2" t="s">
        <v>85</v>
      </c>
      <c r="L53" s="2" t="s">
        <v>86</v>
      </c>
      <c r="M53" s="2" t="s">
        <v>32</v>
      </c>
      <c r="N53" s="3">
        <v>0</v>
      </c>
      <c r="O53" s="2" t="s">
        <v>33</v>
      </c>
      <c r="P53" s="2" t="s">
        <v>109</v>
      </c>
      <c r="Q53" s="4">
        <v>45490</v>
      </c>
      <c r="R53" s="4">
        <v>45536</v>
      </c>
      <c r="S53" s="3">
        <v>-570</v>
      </c>
      <c r="T53" s="5">
        <v>0</v>
      </c>
      <c r="U53" s="2" t="s">
        <v>20</v>
      </c>
      <c r="V53" s="5">
        <v>11770228</v>
      </c>
      <c r="W53" s="5">
        <v>11770228</v>
      </c>
      <c r="X53" s="5">
        <v>36504777.909999996</v>
      </c>
    </row>
    <row r="54" spans="1:24" outlineLevel="3">
      <c r="A54" s="2" t="s">
        <v>81</v>
      </c>
      <c r="B54" s="3">
        <v>811012461</v>
      </c>
      <c r="C54" s="3">
        <v>0</v>
      </c>
      <c r="D54" s="2" t="s">
        <v>82</v>
      </c>
      <c r="E54" s="2">
        <v>8759045</v>
      </c>
      <c r="F54" s="2" t="s">
        <v>83</v>
      </c>
      <c r="G54" s="2" t="s">
        <v>84</v>
      </c>
      <c r="H54" s="2" t="s">
        <v>28</v>
      </c>
      <c r="I54" s="2" t="s">
        <v>11</v>
      </c>
      <c r="J54" s="2" t="s">
        <v>106</v>
      </c>
      <c r="K54" s="2" t="s">
        <v>85</v>
      </c>
      <c r="L54" s="2" t="s">
        <v>86</v>
      </c>
      <c r="M54" s="2" t="s">
        <v>32</v>
      </c>
      <c r="N54" s="3">
        <v>0</v>
      </c>
      <c r="O54" s="2" t="s">
        <v>33</v>
      </c>
      <c r="P54" s="2" t="s">
        <v>110</v>
      </c>
      <c r="Q54" s="4">
        <v>45490</v>
      </c>
      <c r="R54" s="4">
        <v>45536</v>
      </c>
      <c r="S54" s="3">
        <v>-570</v>
      </c>
      <c r="T54" s="5">
        <v>0</v>
      </c>
      <c r="U54" s="2" t="s">
        <v>20</v>
      </c>
      <c r="V54" s="5">
        <v>4274146.17</v>
      </c>
      <c r="W54" s="5">
        <v>4274146.17</v>
      </c>
      <c r="X54" s="5">
        <v>40778924.079999998</v>
      </c>
    </row>
    <row r="55" spans="1:24" outlineLevel="3">
      <c r="A55" s="2" t="s">
        <v>81</v>
      </c>
      <c r="B55" s="3">
        <v>811012461</v>
      </c>
      <c r="C55" s="3">
        <v>0</v>
      </c>
      <c r="D55" s="2" t="s">
        <v>82</v>
      </c>
      <c r="E55" s="2">
        <v>8759045</v>
      </c>
      <c r="F55" s="2" t="s">
        <v>83</v>
      </c>
      <c r="G55" s="2" t="s">
        <v>84</v>
      </c>
      <c r="H55" s="2" t="s">
        <v>28</v>
      </c>
      <c r="I55" s="2" t="s">
        <v>11</v>
      </c>
      <c r="J55" s="2" t="s">
        <v>106</v>
      </c>
      <c r="K55" s="2" t="s">
        <v>85</v>
      </c>
      <c r="L55" s="2" t="s">
        <v>86</v>
      </c>
      <c r="M55" s="2" t="s">
        <v>32</v>
      </c>
      <c r="N55" s="3">
        <v>0</v>
      </c>
      <c r="O55" s="2" t="s">
        <v>33</v>
      </c>
      <c r="P55" s="2" t="s">
        <v>111</v>
      </c>
      <c r="Q55" s="4">
        <v>45495</v>
      </c>
      <c r="R55" s="4">
        <v>45541</v>
      </c>
      <c r="S55" s="3">
        <v>-565</v>
      </c>
      <c r="T55" s="5">
        <v>0</v>
      </c>
      <c r="U55" s="2" t="s">
        <v>20</v>
      </c>
      <c r="V55" s="5">
        <v>1154847.3999999999</v>
      </c>
      <c r="W55" s="5">
        <v>1154847.3999999999</v>
      </c>
      <c r="X55" s="5">
        <v>41933771.479999997</v>
      </c>
    </row>
    <row r="56" spans="1:24" outlineLevel="3">
      <c r="A56" s="2" t="s">
        <v>81</v>
      </c>
      <c r="B56" s="3">
        <v>811012461</v>
      </c>
      <c r="C56" s="3">
        <v>0</v>
      </c>
      <c r="D56" s="2" t="s">
        <v>82</v>
      </c>
      <c r="E56" s="2">
        <v>8759045</v>
      </c>
      <c r="F56" s="2" t="s">
        <v>83</v>
      </c>
      <c r="G56" s="2" t="s">
        <v>84</v>
      </c>
      <c r="H56" s="2" t="s">
        <v>28</v>
      </c>
      <c r="I56" s="2" t="s">
        <v>11</v>
      </c>
      <c r="J56" s="2" t="s">
        <v>106</v>
      </c>
      <c r="K56" s="2" t="s">
        <v>85</v>
      </c>
      <c r="L56" s="2" t="s">
        <v>86</v>
      </c>
      <c r="M56" s="2" t="s">
        <v>32</v>
      </c>
      <c r="N56" s="3">
        <v>0</v>
      </c>
      <c r="O56" s="2" t="s">
        <v>33</v>
      </c>
      <c r="P56" s="2" t="s">
        <v>112</v>
      </c>
      <c r="Q56" s="4">
        <v>45513</v>
      </c>
      <c r="R56" s="4">
        <v>45558</v>
      </c>
      <c r="S56" s="3">
        <v>-548</v>
      </c>
      <c r="T56" s="5">
        <v>0</v>
      </c>
      <c r="U56" s="2" t="s">
        <v>20</v>
      </c>
      <c r="V56" s="5">
        <v>16218407.699999999</v>
      </c>
      <c r="W56" s="5">
        <v>16218407.699999999</v>
      </c>
      <c r="X56" s="5">
        <v>58152179.18</v>
      </c>
    </row>
    <row r="57" spans="1:24" outlineLevel="3">
      <c r="A57" s="2" t="s">
        <v>81</v>
      </c>
      <c r="B57" s="3">
        <v>811012461</v>
      </c>
      <c r="C57" s="3">
        <v>0</v>
      </c>
      <c r="D57" s="2" t="s">
        <v>82</v>
      </c>
      <c r="E57" s="2">
        <v>8759045</v>
      </c>
      <c r="F57" s="2" t="s">
        <v>83</v>
      </c>
      <c r="G57" s="2" t="s">
        <v>84</v>
      </c>
      <c r="H57" s="2" t="s">
        <v>28</v>
      </c>
      <c r="I57" s="2" t="s">
        <v>11</v>
      </c>
      <c r="J57" s="2" t="s">
        <v>106</v>
      </c>
      <c r="K57" s="2" t="s">
        <v>85</v>
      </c>
      <c r="L57" s="2" t="s">
        <v>86</v>
      </c>
      <c r="M57" s="2" t="s">
        <v>32</v>
      </c>
      <c r="N57" s="3">
        <v>0</v>
      </c>
      <c r="O57" s="2" t="s">
        <v>33</v>
      </c>
      <c r="P57" s="2" t="s">
        <v>113</v>
      </c>
      <c r="Q57" s="4">
        <v>45517</v>
      </c>
      <c r="R57" s="4">
        <v>45562</v>
      </c>
      <c r="S57" s="3">
        <v>-544</v>
      </c>
      <c r="T57" s="5">
        <v>0</v>
      </c>
      <c r="U57" s="2" t="s">
        <v>20</v>
      </c>
      <c r="V57" s="5">
        <v>2274080</v>
      </c>
      <c r="W57" s="5">
        <v>2274080</v>
      </c>
      <c r="X57" s="5">
        <v>60426259.18</v>
      </c>
    </row>
    <row r="58" spans="1:24" outlineLevel="3">
      <c r="A58" s="2" t="s">
        <v>81</v>
      </c>
      <c r="B58" s="3">
        <v>811012461</v>
      </c>
      <c r="C58" s="3">
        <v>0</v>
      </c>
      <c r="D58" s="2" t="s">
        <v>82</v>
      </c>
      <c r="E58" s="2">
        <v>8759045</v>
      </c>
      <c r="F58" s="2" t="s">
        <v>83</v>
      </c>
      <c r="G58" s="2" t="s">
        <v>84</v>
      </c>
      <c r="H58" s="2" t="s">
        <v>28</v>
      </c>
      <c r="I58" s="2" t="s">
        <v>11</v>
      </c>
      <c r="J58" s="2" t="s">
        <v>106</v>
      </c>
      <c r="K58" s="2" t="s">
        <v>85</v>
      </c>
      <c r="L58" s="2" t="s">
        <v>86</v>
      </c>
      <c r="M58" s="2" t="s">
        <v>32</v>
      </c>
      <c r="N58" s="3">
        <v>0</v>
      </c>
      <c r="O58" s="2" t="s">
        <v>33</v>
      </c>
      <c r="P58" s="2" t="s">
        <v>114</v>
      </c>
      <c r="Q58" s="4">
        <v>45533</v>
      </c>
      <c r="R58" s="4">
        <v>45578</v>
      </c>
      <c r="S58" s="3">
        <v>-528</v>
      </c>
      <c r="T58" s="5">
        <v>0</v>
      </c>
      <c r="U58" s="2" t="s">
        <v>20</v>
      </c>
      <c r="V58" s="5">
        <v>1786457.6</v>
      </c>
      <c r="W58" s="5">
        <v>1786457.6</v>
      </c>
      <c r="X58" s="5">
        <v>62212716.780000001</v>
      </c>
    </row>
    <row r="59" spans="1:24" outlineLevel="3">
      <c r="A59" s="2" t="s">
        <v>81</v>
      </c>
      <c r="B59" s="3">
        <v>811012461</v>
      </c>
      <c r="C59" s="3">
        <v>0</v>
      </c>
      <c r="D59" s="2" t="s">
        <v>82</v>
      </c>
      <c r="E59" s="2">
        <v>8759045</v>
      </c>
      <c r="F59" s="2" t="s">
        <v>83</v>
      </c>
      <c r="G59" s="2" t="s">
        <v>84</v>
      </c>
      <c r="H59" s="2" t="s">
        <v>28</v>
      </c>
      <c r="I59" s="2" t="s">
        <v>11</v>
      </c>
      <c r="J59" s="2" t="s">
        <v>106</v>
      </c>
      <c r="K59" s="2" t="s">
        <v>85</v>
      </c>
      <c r="L59" s="2" t="s">
        <v>86</v>
      </c>
      <c r="M59" s="2" t="s">
        <v>32</v>
      </c>
      <c r="N59" s="3">
        <v>0</v>
      </c>
      <c r="O59" s="2" t="s">
        <v>33</v>
      </c>
      <c r="P59" s="2" t="s">
        <v>115</v>
      </c>
      <c r="Q59" s="4">
        <v>45533</v>
      </c>
      <c r="R59" s="4">
        <v>45578</v>
      </c>
      <c r="S59" s="3">
        <v>-528</v>
      </c>
      <c r="T59" s="5">
        <v>0</v>
      </c>
      <c r="U59" s="2" t="s">
        <v>20</v>
      </c>
      <c r="V59" s="5">
        <v>9708993.5</v>
      </c>
      <c r="W59" s="5">
        <v>9708993.5</v>
      </c>
      <c r="X59" s="5">
        <v>71921710.280000001</v>
      </c>
    </row>
    <row r="60" spans="1:24" outlineLevel="3">
      <c r="A60" s="2" t="s">
        <v>81</v>
      </c>
      <c r="B60" s="3">
        <v>811012461</v>
      </c>
      <c r="C60" s="3">
        <v>0</v>
      </c>
      <c r="D60" s="2" t="s">
        <v>82</v>
      </c>
      <c r="E60" s="2">
        <v>8759045</v>
      </c>
      <c r="F60" s="2" t="s">
        <v>83</v>
      </c>
      <c r="G60" s="2" t="s">
        <v>84</v>
      </c>
      <c r="H60" s="2" t="s">
        <v>28</v>
      </c>
      <c r="I60" s="2" t="s">
        <v>11</v>
      </c>
      <c r="J60" s="2" t="s">
        <v>59</v>
      </c>
      <c r="K60" s="2" t="s">
        <v>85</v>
      </c>
      <c r="L60" s="2" t="s">
        <v>86</v>
      </c>
      <c r="M60" s="2" t="s">
        <v>32</v>
      </c>
      <c r="N60" s="3">
        <v>0</v>
      </c>
      <c r="O60" s="2" t="s">
        <v>33</v>
      </c>
      <c r="P60" s="2" t="s">
        <v>116</v>
      </c>
      <c r="Q60" s="4">
        <v>45980</v>
      </c>
      <c r="R60" s="4">
        <v>45980</v>
      </c>
      <c r="S60" s="3">
        <v>-132</v>
      </c>
      <c r="T60" s="5">
        <v>0</v>
      </c>
      <c r="U60" s="2" t="s">
        <v>20</v>
      </c>
      <c r="V60" s="5">
        <v>-4150079.38</v>
      </c>
      <c r="W60" s="5">
        <v>-4150079.38</v>
      </c>
      <c r="X60" s="5">
        <v>67771630.900000006</v>
      </c>
    </row>
    <row r="61" spans="1:24" outlineLevel="2">
      <c r="M61" s="14" t="s">
        <v>742</v>
      </c>
      <c r="T61" s="5">
        <f>SUBTOTAL(9,T33:T60)</f>
        <v>0</v>
      </c>
      <c r="V61" s="5">
        <f>SUBTOTAL(9,V33:V60)</f>
        <v>67771630.900000006</v>
      </c>
      <c r="W61" s="5">
        <f>SUBTOTAL(9,W33:W60)</f>
        <v>67771630.900000006</v>
      </c>
    </row>
    <row r="62" spans="1:24" outlineLevel="1">
      <c r="A62" s="14" t="s">
        <v>684</v>
      </c>
      <c r="T62" s="5">
        <f>SUBTOTAL(9,T33:T60)</f>
        <v>0</v>
      </c>
      <c r="V62" s="5">
        <f>SUBTOTAL(9,V33:V60)</f>
        <v>67771630.900000006</v>
      </c>
      <c r="W62" s="5">
        <f>SUBTOTAL(9,W33:W60)</f>
        <v>67771630.900000006</v>
      </c>
    </row>
    <row r="63" spans="1:24" outlineLevel="3">
      <c r="A63" s="2" t="s">
        <v>117</v>
      </c>
      <c r="B63" s="3">
        <v>817000680</v>
      </c>
      <c r="C63" s="3">
        <v>0</v>
      </c>
      <c r="D63" s="2" t="s">
        <v>118</v>
      </c>
      <c r="E63" s="2">
        <v>8259500</v>
      </c>
      <c r="F63" s="2" t="s">
        <v>119</v>
      </c>
      <c r="G63" s="2" t="s">
        <v>120</v>
      </c>
      <c r="H63" s="2" t="s">
        <v>28</v>
      </c>
      <c r="I63" s="2" t="s">
        <v>11</v>
      </c>
      <c r="J63" s="2" t="s">
        <v>67</v>
      </c>
      <c r="K63" s="2" t="s">
        <v>47</v>
      </c>
      <c r="L63" s="2" t="s">
        <v>48</v>
      </c>
      <c r="M63" s="2" t="s">
        <v>32</v>
      </c>
      <c r="N63" s="3">
        <v>0</v>
      </c>
      <c r="O63" s="2" t="s">
        <v>33</v>
      </c>
      <c r="P63" s="2" t="s">
        <v>121</v>
      </c>
      <c r="Q63" s="4">
        <v>46086</v>
      </c>
      <c r="R63" s="4">
        <v>46146</v>
      </c>
      <c r="S63" s="3">
        <v>33</v>
      </c>
      <c r="T63" s="5">
        <v>0</v>
      </c>
      <c r="U63" s="2" t="s">
        <v>58</v>
      </c>
      <c r="V63" s="5">
        <v>1805407.5</v>
      </c>
      <c r="W63" s="5">
        <v>0</v>
      </c>
      <c r="X63" s="5">
        <v>0</v>
      </c>
    </row>
    <row r="64" spans="1:24" outlineLevel="3">
      <c r="A64" s="2" t="s">
        <v>117</v>
      </c>
      <c r="B64" s="3">
        <v>817000680</v>
      </c>
      <c r="C64" s="3">
        <v>0</v>
      </c>
      <c r="D64" s="2" t="s">
        <v>118</v>
      </c>
      <c r="E64" s="2">
        <v>8259500</v>
      </c>
      <c r="F64" s="2" t="s">
        <v>119</v>
      </c>
      <c r="G64" s="2" t="s">
        <v>120</v>
      </c>
      <c r="H64" s="2" t="s">
        <v>28</v>
      </c>
      <c r="I64" s="2" t="s">
        <v>11</v>
      </c>
      <c r="J64" s="2" t="s">
        <v>67</v>
      </c>
      <c r="K64" s="2" t="s">
        <v>47</v>
      </c>
      <c r="L64" s="2" t="s">
        <v>48</v>
      </c>
      <c r="M64" s="2" t="s">
        <v>32</v>
      </c>
      <c r="N64" s="3">
        <v>0</v>
      </c>
      <c r="O64" s="2" t="s">
        <v>33</v>
      </c>
      <c r="P64" s="2" t="s">
        <v>122</v>
      </c>
      <c r="Q64" s="4">
        <v>46086</v>
      </c>
      <c r="R64" s="4">
        <v>46146</v>
      </c>
      <c r="S64" s="3">
        <v>33</v>
      </c>
      <c r="T64" s="5">
        <v>0</v>
      </c>
      <c r="U64" s="2" t="s">
        <v>58</v>
      </c>
      <c r="V64" s="5">
        <v>4158706.5</v>
      </c>
      <c r="W64" s="5">
        <v>0</v>
      </c>
      <c r="X64" s="5">
        <v>0</v>
      </c>
    </row>
    <row r="65" spans="1:24" outlineLevel="3">
      <c r="A65" s="2" t="s">
        <v>117</v>
      </c>
      <c r="B65" s="3">
        <v>817000680</v>
      </c>
      <c r="C65" s="3">
        <v>0</v>
      </c>
      <c r="D65" s="2" t="s">
        <v>118</v>
      </c>
      <c r="E65" s="2">
        <v>8259500</v>
      </c>
      <c r="F65" s="2" t="s">
        <v>119</v>
      </c>
      <c r="G65" s="2" t="s">
        <v>120</v>
      </c>
      <c r="H65" s="2" t="s">
        <v>28</v>
      </c>
      <c r="I65" s="2" t="s">
        <v>11</v>
      </c>
      <c r="J65" s="2" t="s">
        <v>67</v>
      </c>
      <c r="K65" s="2" t="s">
        <v>47</v>
      </c>
      <c r="L65" s="2" t="s">
        <v>48</v>
      </c>
      <c r="M65" s="2" t="s">
        <v>32</v>
      </c>
      <c r="N65" s="3">
        <v>0</v>
      </c>
      <c r="O65" s="2" t="s">
        <v>33</v>
      </c>
      <c r="P65" s="2" t="s">
        <v>123</v>
      </c>
      <c r="Q65" s="4">
        <v>46086</v>
      </c>
      <c r="R65" s="4">
        <v>46146</v>
      </c>
      <c r="S65" s="3">
        <v>33</v>
      </c>
      <c r="T65" s="5">
        <v>0</v>
      </c>
      <c r="U65" s="2" t="s">
        <v>58</v>
      </c>
      <c r="V65" s="5">
        <v>9078888</v>
      </c>
      <c r="W65" s="5">
        <v>0</v>
      </c>
      <c r="X65" s="5">
        <v>0</v>
      </c>
    </row>
    <row r="66" spans="1:24" outlineLevel="3">
      <c r="A66" s="2" t="s">
        <v>117</v>
      </c>
      <c r="B66" s="3">
        <v>817000680</v>
      </c>
      <c r="C66" s="3">
        <v>0</v>
      </c>
      <c r="D66" s="2" t="s">
        <v>118</v>
      </c>
      <c r="E66" s="2">
        <v>8259500</v>
      </c>
      <c r="F66" s="2" t="s">
        <v>119</v>
      </c>
      <c r="G66" s="2" t="s">
        <v>120</v>
      </c>
      <c r="H66" s="2" t="s">
        <v>28</v>
      </c>
      <c r="I66" s="2" t="s">
        <v>11</v>
      </c>
      <c r="J66" s="2" t="s">
        <v>67</v>
      </c>
      <c r="K66" s="2" t="s">
        <v>47</v>
      </c>
      <c r="L66" s="2" t="s">
        <v>48</v>
      </c>
      <c r="M66" s="2" t="s">
        <v>32</v>
      </c>
      <c r="N66" s="3">
        <v>0</v>
      </c>
      <c r="O66" s="2" t="s">
        <v>33</v>
      </c>
      <c r="P66" s="2" t="s">
        <v>124</v>
      </c>
      <c r="Q66" s="4">
        <v>46098</v>
      </c>
      <c r="R66" s="4">
        <v>46158</v>
      </c>
      <c r="S66" s="3">
        <v>45</v>
      </c>
      <c r="T66" s="5">
        <v>0</v>
      </c>
      <c r="U66" s="2" t="s">
        <v>58</v>
      </c>
      <c r="V66" s="5">
        <v>5424748.8700000001</v>
      </c>
      <c r="W66" s="5">
        <v>0</v>
      </c>
      <c r="X66" s="5">
        <v>0</v>
      </c>
    </row>
    <row r="67" spans="1:24" outlineLevel="3">
      <c r="A67" s="2" t="s">
        <v>117</v>
      </c>
      <c r="B67" s="3">
        <v>817000680</v>
      </c>
      <c r="C67" s="3">
        <v>0</v>
      </c>
      <c r="D67" s="2" t="s">
        <v>118</v>
      </c>
      <c r="E67" s="2">
        <v>8259500</v>
      </c>
      <c r="F67" s="2" t="s">
        <v>119</v>
      </c>
      <c r="G67" s="2" t="s">
        <v>120</v>
      </c>
      <c r="H67" s="2" t="s">
        <v>28</v>
      </c>
      <c r="I67" s="2" t="s">
        <v>11</v>
      </c>
      <c r="J67" s="2" t="s">
        <v>67</v>
      </c>
      <c r="K67" s="2" t="s">
        <v>47</v>
      </c>
      <c r="L67" s="2" t="s">
        <v>48</v>
      </c>
      <c r="M67" s="2" t="s">
        <v>32</v>
      </c>
      <c r="N67" s="3">
        <v>0</v>
      </c>
      <c r="O67" s="2" t="s">
        <v>33</v>
      </c>
      <c r="P67" s="2" t="s">
        <v>125</v>
      </c>
      <c r="Q67" s="4">
        <v>46107</v>
      </c>
      <c r="R67" s="4">
        <v>46167</v>
      </c>
      <c r="S67" s="3">
        <v>54</v>
      </c>
      <c r="T67" s="5">
        <v>0</v>
      </c>
      <c r="U67" s="2" t="s">
        <v>58</v>
      </c>
      <c r="V67" s="5">
        <v>10201776</v>
      </c>
      <c r="W67" s="5">
        <v>0</v>
      </c>
      <c r="X67" s="5">
        <v>0</v>
      </c>
    </row>
    <row r="68" spans="1:24" outlineLevel="2">
      <c r="M68" s="14" t="s">
        <v>742</v>
      </c>
      <c r="T68" s="5">
        <f>SUBTOTAL(9,T63:T67)</f>
        <v>0</v>
      </c>
      <c r="V68" s="5">
        <f>SUBTOTAL(9,V63:V67)</f>
        <v>30669526.870000001</v>
      </c>
      <c r="W68" s="5">
        <f>SUBTOTAL(9,W63:W67)</f>
        <v>0</v>
      </c>
    </row>
    <row r="69" spans="1:24" outlineLevel="1">
      <c r="A69" s="14" t="s">
        <v>685</v>
      </c>
      <c r="T69" s="5">
        <f>SUBTOTAL(9,T63:T67)</f>
        <v>0</v>
      </c>
      <c r="V69" s="5">
        <f>SUBTOTAL(9,V63:V67)</f>
        <v>30669526.870000001</v>
      </c>
      <c r="W69" s="5">
        <f>SUBTOTAL(9,W63:W67)</f>
        <v>0</v>
      </c>
    </row>
    <row r="70" spans="1:24" outlineLevel="3">
      <c r="A70" s="2" t="s">
        <v>126</v>
      </c>
      <c r="B70" s="3">
        <v>817000809</v>
      </c>
      <c r="C70" s="3">
        <v>0</v>
      </c>
      <c r="D70" s="2" t="s">
        <v>127</v>
      </c>
      <c r="E70" s="2">
        <v>8295306</v>
      </c>
      <c r="F70" s="2" t="s">
        <v>128</v>
      </c>
      <c r="G70" s="2" t="s">
        <v>129</v>
      </c>
      <c r="H70" s="2" t="s">
        <v>28</v>
      </c>
      <c r="I70" s="2" t="s">
        <v>11</v>
      </c>
      <c r="J70" s="2" t="s">
        <v>67</v>
      </c>
      <c r="K70" s="2" t="s">
        <v>47</v>
      </c>
      <c r="L70" s="2" t="s">
        <v>48</v>
      </c>
      <c r="M70" s="2" t="s">
        <v>32</v>
      </c>
      <c r="N70" s="3">
        <v>0</v>
      </c>
      <c r="O70" s="2" t="s">
        <v>33</v>
      </c>
      <c r="P70" s="2" t="s">
        <v>130</v>
      </c>
      <c r="Q70" s="4">
        <v>46093</v>
      </c>
      <c r="R70" s="4">
        <v>46123</v>
      </c>
      <c r="S70" s="3">
        <v>10</v>
      </c>
      <c r="T70" s="5">
        <v>0</v>
      </c>
      <c r="U70" s="2" t="s">
        <v>58</v>
      </c>
      <c r="V70" s="5">
        <v>15015743.25</v>
      </c>
      <c r="W70" s="5">
        <v>0</v>
      </c>
      <c r="X70" s="5">
        <v>0</v>
      </c>
    </row>
    <row r="71" spans="1:24" outlineLevel="2">
      <c r="M71" s="14" t="s">
        <v>742</v>
      </c>
      <c r="T71" s="5">
        <f>SUBTOTAL(9,T70:T70)</f>
        <v>0</v>
      </c>
      <c r="V71" s="5">
        <f>SUBTOTAL(9,V70:V70)</f>
        <v>15015743.25</v>
      </c>
      <c r="W71" s="5">
        <f>SUBTOTAL(9,W70:W70)</f>
        <v>0</v>
      </c>
    </row>
    <row r="72" spans="1:24" outlineLevel="1">
      <c r="A72" s="14" t="s">
        <v>686</v>
      </c>
      <c r="T72" s="5">
        <f>SUBTOTAL(9,T70:T70)</f>
        <v>0</v>
      </c>
      <c r="V72" s="5">
        <f>SUBTOTAL(9,V70:V70)</f>
        <v>15015743.25</v>
      </c>
      <c r="W72" s="5">
        <f>SUBTOTAL(9,W70:W70)</f>
        <v>0</v>
      </c>
    </row>
    <row r="73" spans="1:24" outlineLevel="3">
      <c r="A73" s="2" t="s">
        <v>131</v>
      </c>
      <c r="B73" s="3">
        <v>830054444</v>
      </c>
      <c r="C73" s="3">
        <v>0</v>
      </c>
      <c r="D73" s="2" t="s">
        <v>132</v>
      </c>
      <c r="E73" s="2">
        <v>8219088</v>
      </c>
      <c r="F73" s="2" t="s">
        <v>133</v>
      </c>
      <c r="G73" s="2" t="s">
        <v>84</v>
      </c>
      <c r="H73" s="2" t="s">
        <v>28</v>
      </c>
      <c r="I73" s="2" t="s">
        <v>11</v>
      </c>
      <c r="J73" s="2" t="s">
        <v>67</v>
      </c>
      <c r="K73" s="2" t="s">
        <v>47</v>
      </c>
      <c r="L73" s="2" t="s">
        <v>48</v>
      </c>
      <c r="M73" s="2" t="s">
        <v>32</v>
      </c>
      <c r="N73" s="3">
        <v>0</v>
      </c>
      <c r="O73" s="2" t="s">
        <v>33</v>
      </c>
      <c r="P73" s="2" t="s">
        <v>134</v>
      </c>
      <c r="Q73" s="4">
        <v>46084</v>
      </c>
      <c r="R73" s="4">
        <v>46144</v>
      </c>
      <c r="S73" s="3">
        <v>31</v>
      </c>
      <c r="T73" s="5">
        <v>0</v>
      </c>
      <c r="U73" s="2" t="s">
        <v>58</v>
      </c>
      <c r="V73" s="5">
        <v>2831940.25</v>
      </c>
      <c r="W73" s="5">
        <v>0</v>
      </c>
      <c r="X73" s="5">
        <v>0</v>
      </c>
    </row>
    <row r="74" spans="1:24" outlineLevel="2">
      <c r="M74" s="14" t="s">
        <v>742</v>
      </c>
      <c r="T74" s="5">
        <f>SUBTOTAL(9,T73:T73)</f>
        <v>0</v>
      </c>
      <c r="V74" s="5">
        <f>SUBTOTAL(9,V73:V73)</f>
        <v>2831940.25</v>
      </c>
      <c r="W74" s="5">
        <f>SUBTOTAL(9,W73:W73)</f>
        <v>0</v>
      </c>
    </row>
    <row r="75" spans="1:24" outlineLevel="1">
      <c r="A75" s="14" t="s">
        <v>687</v>
      </c>
      <c r="T75" s="5">
        <f>SUBTOTAL(9,T73:T73)</f>
        <v>0</v>
      </c>
      <c r="V75" s="5">
        <f>SUBTOTAL(9,V73:V73)</f>
        <v>2831940.25</v>
      </c>
      <c r="W75" s="5">
        <f>SUBTOTAL(9,W73:W73)</f>
        <v>0</v>
      </c>
    </row>
    <row r="76" spans="1:24" outlineLevel="3">
      <c r="A76" s="2" t="s">
        <v>135</v>
      </c>
      <c r="B76" s="3">
        <v>830057664</v>
      </c>
      <c r="C76" s="3">
        <v>0</v>
      </c>
      <c r="D76" s="2" t="s">
        <v>136</v>
      </c>
      <c r="E76" s="2">
        <v>7413305</v>
      </c>
      <c r="F76" s="2" t="s">
        <v>137</v>
      </c>
      <c r="G76" s="2" t="s">
        <v>38</v>
      </c>
      <c r="H76" s="2" t="s">
        <v>28</v>
      </c>
      <c r="I76" s="2" t="s">
        <v>11</v>
      </c>
      <c r="J76" s="2" t="s">
        <v>59</v>
      </c>
      <c r="K76" s="2" t="s">
        <v>138</v>
      </c>
      <c r="L76" s="2" t="s">
        <v>139</v>
      </c>
      <c r="M76" s="2" t="s">
        <v>32</v>
      </c>
      <c r="N76" s="3">
        <v>0</v>
      </c>
      <c r="O76" s="2" t="s">
        <v>33</v>
      </c>
      <c r="P76" s="2" t="s">
        <v>140</v>
      </c>
      <c r="Q76" s="4">
        <v>44242</v>
      </c>
      <c r="R76" s="4">
        <v>44293</v>
      </c>
      <c r="S76" s="3">
        <v>-1794</v>
      </c>
      <c r="T76" s="5">
        <v>0</v>
      </c>
      <c r="U76" s="2" t="s">
        <v>20</v>
      </c>
      <c r="V76" s="5">
        <v>1290250.3600000001</v>
      </c>
      <c r="W76" s="5">
        <v>1290250.3600000001</v>
      </c>
      <c r="X76" s="5">
        <v>1290250.3600000001</v>
      </c>
    </row>
    <row r="77" spans="1:24" outlineLevel="3">
      <c r="A77" s="2" t="s">
        <v>135</v>
      </c>
      <c r="B77" s="3">
        <v>830057664</v>
      </c>
      <c r="C77" s="3">
        <v>0</v>
      </c>
      <c r="D77" s="2" t="s">
        <v>136</v>
      </c>
      <c r="E77" s="2">
        <v>7413305</v>
      </c>
      <c r="F77" s="2" t="s">
        <v>137</v>
      </c>
      <c r="G77" s="2" t="s">
        <v>38</v>
      </c>
      <c r="H77" s="2" t="s">
        <v>28</v>
      </c>
      <c r="I77" s="2" t="s">
        <v>11</v>
      </c>
      <c r="J77" s="2" t="s">
        <v>141</v>
      </c>
      <c r="K77" s="2" t="s">
        <v>138</v>
      </c>
      <c r="L77" s="2" t="s">
        <v>139</v>
      </c>
      <c r="M77" s="2" t="s">
        <v>32</v>
      </c>
      <c r="N77" s="3">
        <v>0</v>
      </c>
      <c r="O77" s="2" t="s">
        <v>33</v>
      </c>
      <c r="P77" s="2" t="s">
        <v>142</v>
      </c>
      <c r="Q77" s="4">
        <v>44260</v>
      </c>
      <c r="R77" s="4">
        <v>44320</v>
      </c>
      <c r="S77" s="3">
        <v>-1767</v>
      </c>
      <c r="T77" s="5">
        <v>0</v>
      </c>
      <c r="U77" s="2" t="s">
        <v>20</v>
      </c>
      <c r="V77" s="5">
        <v>9981292.4199999999</v>
      </c>
      <c r="W77" s="5">
        <v>9981292.4199999999</v>
      </c>
      <c r="X77" s="5">
        <v>11271542.779999999</v>
      </c>
    </row>
    <row r="78" spans="1:24" outlineLevel="2">
      <c r="M78" s="14" t="s">
        <v>742</v>
      </c>
      <c r="T78" s="5">
        <f>SUBTOTAL(9,T76:T77)</f>
        <v>0</v>
      </c>
      <c r="V78" s="5">
        <f>SUBTOTAL(9,V76:V77)</f>
        <v>11271542.779999999</v>
      </c>
      <c r="W78" s="5">
        <f>SUBTOTAL(9,W76:W77)</f>
        <v>11271542.779999999</v>
      </c>
    </row>
    <row r="79" spans="1:24" outlineLevel="1">
      <c r="A79" s="14" t="s">
        <v>688</v>
      </c>
      <c r="T79" s="5">
        <f>SUBTOTAL(9,T76:T77)</f>
        <v>0</v>
      </c>
      <c r="V79" s="5">
        <f>SUBTOTAL(9,V76:V77)</f>
        <v>11271542.779999999</v>
      </c>
      <c r="W79" s="5">
        <f>SUBTOTAL(9,W76:W77)</f>
        <v>11271542.779999999</v>
      </c>
    </row>
    <row r="80" spans="1:24" outlineLevel="3">
      <c r="A80" s="2" t="s">
        <v>143</v>
      </c>
      <c r="B80" s="3">
        <v>830061446</v>
      </c>
      <c r="C80" s="3">
        <v>0</v>
      </c>
      <c r="D80" s="2" t="s">
        <v>144</v>
      </c>
      <c r="E80" s="2">
        <v>4069777</v>
      </c>
      <c r="F80" s="2" t="s">
        <v>145</v>
      </c>
      <c r="G80" s="2" t="s">
        <v>38</v>
      </c>
      <c r="H80" s="2" t="s">
        <v>28</v>
      </c>
      <c r="I80" s="2" t="s">
        <v>11</v>
      </c>
      <c r="J80" s="2" t="s">
        <v>67</v>
      </c>
      <c r="K80" s="2" t="s">
        <v>47</v>
      </c>
      <c r="L80" s="2" t="s">
        <v>48</v>
      </c>
      <c r="M80" s="2" t="s">
        <v>32</v>
      </c>
      <c r="N80" s="3">
        <v>0</v>
      </c>
      <c r="O80" s="2" t="s">
        <v>33</v>
      </c>
      <c r="P80" s="2" t="s">
        <v>146</v>
      </c>
      <c r="Q80" s="4">
        <v>46093</v>
      </c>
      <c r="R80" s="4">
        <v>46123</v>
      </c>
      <c r="S80" s="3">
        <v>10</v>
      </c>
      <c r="T80" s="5">
        <v>0</v>
      </c>
      <c r="U80" s="2" t="s">
        <v>58</v>
      </c>
      <c r="V80" s="5">
        <v>2869367.7</v>
      </c>
      <c r="W80" s="5">
        <v>0</v>
      </c>
      <c r="X80" s="5">
        <v>0</v>
      </c>
    </row>
    <row r="81" spans="1:24" outlineLevel="3">
      <c r="A81" s="2" t="s">
        <v>143</v>
      </c>
      <c r="B81" s="3">
        <v>830061446</v>
      </c>
      <c r="C81" s="3">
        <v>0</v>
      </c>
      <c r="D81" s="2" t="s">
        <v>144</v>
      </c>
      <c r="E81" s="2">
        <v>4069777</v>
      </c>
      <c r="F81" s="2" t="s">
        <v>145</v>
      </c>
      <c r="G81" s="2" t="s">
        <v>38</v>
      </c>
      <c r="H81" s="2" t="s">
        <v>28</v>
      </c>
      <c r="I81" s="2" t="s">
        <v>11</v>
      </c>
      <c r="J81" s="2" t="s">
        <v>67</v>
      </c>
      <c r="K81" s="2" t="s">
        <v>47</v>
      </c>
      <c r="L81" s="2" t="s">
        <v>48</v>
      </c>
      <c r="M81" s="2" t="s">
        <v>32</v>
      </c>
      <c r="N81" s="3">
        <v>0</v>
      </c>
      <c r="O81" s="2" t="s">
        <v>33</v>
      </c>
      <c r="P81" s="2" t="s">
        <v>147</v>
      </c>
      <c r="Q81" s="4">
        <v>46105</v>
      </c>
      <c r="R81" s="4">
        <v>46135</v>
      </c>
      <c r="S81" s="3">
        <v>22</v>
      </c>
      <c r="T81" s="5">
        <v>0</v>
      </c>
      <c r="U81" s="2" t="s">
        <v>58</v>
      </c>
      <c r="V81" s="5">
        <v>2770381.01</v>
      </c>
      <c r="W81" s="5">
        <v>0</v>
      </c>
      <c r="X81" s="5">
        <v>0</v>
      </c>
    </row>
    <row r="82" spans="1:24" outlineLevel="3">
      <c r="A82" s="2" t="s">
        <v>143</v>
      </c>
      <c r="B82" s="3">
        <v>830061446</v>
      </c>
      <c r="C82" s="3">
        <v>0</v>
      </c>
      <c r="D82" s="2" t="s">
        <v>144</v>
      </c>
      <c r="E82" s="2">
        <v>4069777</v>
      </c>
      <c r="F82" s="2" t="s">
        <v>145</v>
      </c>
      <c r="G82" s="2" t="s">
        <v>38</v>
      </c>
      <c r="H82" s="2" t="s">
        <v>28</v>
      </c>
      <c r="I82" s="2" t="s">
        <v>11</v>
      </c>
      <c r="J82" s="2" t="s">
        <v>67</v>
      </c>
      <c r="K82" s="2" t="s">
        <v>47</v>
      </c>
      <c r="L82" s="2" t="s">
        <v>48</v>
      </c>
      <c r="M82" s="2" t="s">
        <v>32</v>
      </c>
      <c r="N82" s="3">
        <v>0</v>
      </c>
      <c r="O82" s="2" t="s">
        <v>33</v>
      </c>
      <c r="P82" s="2" t="s">
        <v>148</v>
      </c>
      <c r="Q82" s="4">
        <v>46111</v>
      </c>
      <c r="R82" s="4">
        <v>46141</v>
      </c>
      <c r="S82" s="3">
        <v>28</v>
      </c>
      <c r="T82" s="5">
        <v>0</v>
      </c>
      <c r="U82" s="2" t="s">
        <v>58</v>
      </c>
      <c r="V82" s="5">
        <v>1270117.6100000001</v>
      </c>
      <c r="W82" s="5">
        <v>0</v>
      </c>
      <c r="X82" s="5">
        <v>0</v>
      </c>
    </row>
    <row r="83" spans="1:24" outlineLevel="2">
      <c r="M83" s="14" t="s">
        <v>742</v>
      </c>
      <c r="T83" s="5">
        <f>SUBTOTAL(9,T80:T82)</f>
        <v>0</v>
      </c>
      <c r="V83" s="5">
        <f>SUBTOTAL(9,V80:V82)</f>
        <v>6909866.3200000003</v>
      </c>
      <c r="W83" s="5">
        <f>SUBTOTAL(9,W80:W82)</f>
        <v>0</v>
      </c>
    </row>
    <row r="84" spans="1:24" outlineLevel="1">
      <c r="A84" s="14" t="s">
        <v>689</v>
      </c>
      <c r="T84" s="5">
        <f>SUBTOTAL(9,T80:T82)</f>
        <v>0</v>
      </c>
      <c r="V84" s="5">
        <f>SUBTOTAL(9,V80:V82)</f>
        <v>6909866.3200000003</v>
      </c>
      <c r="W84" s="5">
        <f>SUBTOTAL(9,W80:W82)</f>
        <v>0</v>
      </c>
    </row>
    <row r="85" spans="1:24" outlineLevel="3">
      <c r="A85" s="2" t="s">
        <v>149</v>
      </c>
      <c r="B85" s="3">
        <v>830071113</v>
      </c>
      <c r="C85" s="3">
        <v>0</v>
      </c>
      <c r="D85" s="2" t="s">
        <v>150</v>
      </c>
      <c r="E85" s="2">
        <v>5414840</v>
      </c>
      <c r="F85" s="2" t="s">
        <v>151</v>
      </c>
      <c r="G85" s="2" t="s">
        <v>84</v>
      </c>
      <c r="H85" s="2" t="s">
        <v>28</v>
      </c>
      <c r="I85" s="2" t="s">
        <v>11</v>
      </c>
      <c r="J85" s="2" t="s">
        <v>65</v>
      </c>
      <c r="K85" s="2" t="s">
        <v>47</v>
      </c>
      <c r="L85" s="2" t="s">
        <v>48</v>
      </c>
      <c r="M85" s="2" t="s">
        <v>32</v>
      </c>
      <c r="N85" s="3">
        <v>0</v>
      </c>
      <c r="O85" s="2" t="s">
        <v>33</v>
      </c>
      <c r="P85" s="2" t="s">
        <v>152</v>
      </c>
      <c r="Q85" s="4">
        <v>46055</v>
      </c>
      <c r="R85" s="4">
        <v>46113</v>
      </c>
      <c r="S85" s="3">
        <v>0</v>
      </c>
      <c r="T85" s="5">
        <v>0</v>
      </c>
      <c r="U85" s="2" t="s">
        <v>20</v>
      </c>
      <c r="V85" s="5">
        <v>2954789.5</v>
      </c>
      <c r="W85" s="5">
        <v>0</v>
      </c>
      <c r="X85" s="5">
        <v>0</v>
      </c>
    </row>
    <row r="86" spans="1:24" outlineLevel="3">
      <c r="A86" s="2" t="s">
        <v>149</v>
      </c>
      <c r="B86" s="3">
        <v>830071113</v>
      </c>
      <c r="C86" s="3">
        <v>0</v>
      </c>
      <c r="D86" s="2" t="s">
        <v>150</v>
      </c>
      <c r="E86" s="2">
        <v>5414840</v>
      </c>
      <c r="F86" s="2" t="s">
        <v>151</v>
      </c>
      <c r="G86" s="2" t="s">
        <v>84</v>
      </c>
      <c r="H86" s="2" t="s">
        <v>28</v>
      </c>
      <c r="I86" s="2" t="s">
        <v>11</v>
      </c>
      <c r="J86" s="2" t="s">
        <v>67</v>
      </c>
      <c r="K86" s="2" t="s">
        <v>47</v>
      </c>
      <c r="L86" s="2" t="s">
        <v>48</v>
      </c>
      <c r="M86" s="2" t="s">
        <v>32</v>
      </c>
      <c r="N86" s="3">
        <v>0</v>
      </c>
      <c r="O86" s="2" t="s">
        <v>33</v>
      </c>
      <c r="P86" s="2" t="s">
        <v>153</v>
      </c>
      <c r="Q86" s="4">
        <v>46083</v>
      </c>
      <c r="R86" s="4">
        <v>46143</v>
      </c>
      <c r="S86" s="3">
        <v>30</v>
      </c>
      <c r="T86" s="5">
        <v>0</v>
      </c>
      <c r="U86" s="2" t="s">
        <v>58</v>
      </c>
      <c r="V86" s="5">
        <v>5402396.25</v>
      </c>
      <c r="W86" s="5">
        <v>0</v>
      </c>
      <c r="X86" s="5">
        <v>0</v>
      </c>
    </row>
    <row r="87" spans="1:24" outlineLevel="2">
      <c r="M87" s="14" t="s">
        <v>742</v>
      </c>
      <c r="T87" s="5">
        <f>SUBTOTAL(9,T85:T86)</f>
        <v>0</v>
      </c>
      <c r="V87" s="5">
        <f>SUBTOTAL(9,V85:V86)</f>
        <v>8357185.75</v>
      </c>
      <c r="W87" s="5">
        <f>SUBTOTAL(9,W85:W86)</f>
        <v>0</v>
      </c>
    </row>
    <row r="88" spans="1:24" outlineLevel="1">
      <c r="A88" s="14" t="s">
        <v>690</v>
      </c>
      <c r="T88" s="5">
        <f>SUBTOTAL(9,T85:T86)</f>
        <v>0</v>
      </c>
      <c r="V88" s="5">
        <f>SUBTOTAL(9,V85:V86)</f>
        <v>8357185.75</v>
      </c>
      <c r="W88" s="5">
        <f>SUBTOTAL(9,W85:W86)</f>
        <v>0</v>
      </c>
    </row>
    <row r="89" spans="1:24" outlineLevel="3">
      <c r="A89" s="2" t="s">
        <v>154</v>
      </c>
      <c r="B89" s="3">
        <v>830500365</v>
      </c>
      <c r="C89" s="3">
        <v>0</v>
      </c>
      <c r="D89" s="2" t="s">
        <v>155</v>
      </c>
      <c r="E89" s="2">
        <v>4443460</v>
      </c>
      <c r="F89" s="2" t="s">
        <v>156</v>
      </c>
      <c r="G89" s="2" t="s">
        <v>157</v>
      </c>
      <c r="H89" s="2" t="s">
        <v>28</v>
      </c>
      <c r="I89" s="2" t="s">
        <v>11</v>
      </c>
      <c r="J89" s="2" t="s">
        <v>54</v>
      </c>
      <c r="K89" s="2" t="s">
        <v>55</v>
      </c>
      <c r="L89" s="2" t="s">
        <v>56</v>
      </c>
      <c r="M89" s="2" t="s">
        <v>32</v>
      </c>
      <c r="N89" s="3">
        <v>0</v>
      </c>
      <c r="O89" s="2" t="s">
        <v>33</v>
      </c>
      <c r="P89" s="2" t="s">
        <v>158</v>
      </c>
      <c r="Q89" s="4">
        <v>46105</v>
      </c>
      <c r="R89" s="4">
        <v>46165</v>
      </c>
      <c r="S89" s="3">
        <v>52</v>
      </c>
      <c r="T89" s="5">
        <v>0</v>
      </c>
      <c r="U89" s="2" t="s">
        <v>58</v>
      </c>
      <c r="V89" s="5">
        <v>7660341</v>
      </c>
      <c r="W89" s="5">
        <v>0</v>
      </c>
      <c r="X89" s="5">
        <v>0</v>
      </c>
    </row>
    <row r="90" spans="1:24" outlineLevel="2">
      <c r="M90" s="14" t="s">
        <v>742</v>
      </c>
      <c r="T90" s="5">
        <f>SUBTOTAL(9,T89:T89)</f>
        <v>0</v>
      </c>
      <c r="V90" s="5">
        <f>SUBTOTAL(9,V89:V89)</f>
        <v>7660341</v>
      </c>
      <c r="W90" s="5">
        <f>SUBTOTAL(9,W89:W89)</f>
        <v>0</v>
      </c>
    </row>
    <row r="91" spans="1:24" outlineLevel="1">
      <c r="A91" s="14" t="s">
        <v>691</v>
      </c>
      <c r="T91" s="5">
        <f>SUBTOTAL(9,T89:T89)</f>
        <v>0</v>
      </c>
      <c r="V91" s="5">
        <f>SUBTOTAL(9,V89:V89)</f>
        <v>7660341</v>
      </c>
      <c r="W91" s="5">
        <f>SUBTOTAL(9,W89:W89)</f>
        <v>0</v>
      </c>
    </row>
    <row r="92" spans="1:24" outlineLevel="3">
      <c r="A92" s="2" t="s">
        <v>159</v>
      </c>
      <c r="B92" s="3">
        <v>830506179</v>
      </c>
      <c r="C92" s="3">
        <v>0</v>
      </c>
      <c r="D92" s="2" t="s">
        <v>160</v>
      </c>
      <c r="E92" s="2">
        <v>4485818</v>
      </c>
      <c r="F92" s="2" t="s">
        <v>161</v>
      </c>
      <c r="G92" s="2" t="s">
        <v>162</v>
      </c>
      <c r="H92" s="2" t="s">
        <v>28</v>
      </c>
      <c r="I92" s="2" t="s">
        <v>11</v>
      </c>
      <c r="J92" s="2" t="s">
        <v>54</v>
      </c>
      <c r="K92" s="2" t="s">
        <v>55</v>
      </c>
      <c r="L92" s="2" t="s">
        <v>56</v>
      </c>
      <c r="M92" s="2" t="s">
        <v>32</v>
      </c>
      <c r="N92" s="3">
        <v>0</v>
      </c>
      <c r="O92" s="2" t="s">
        <v>33</v>
      </c>
      <c r="P92" s="2" t="s">
        <v>163</v>
      </c>
      <c r="Q92" s="4">
        <v>46058</v>
      </c>
      <c r="R92" s="4">
        <v>46116</v>
      </c>
      <c r="S92" s="3">
        <v>3</v>
      </c>
      <c r="T92" s="5">
        <v>0</v>
      </c>
      <c r="U92" s="2" t="s">
        <v>58</v>
      </c>
      <c r="V92" s="5">
        <v>13422652.35</v>
      </c>
      <c r="W92" s="5">
        <v>0</v>
      </c>
      <c r="X92" s="5">
        <v>0</v>
      </c>
    </row>
    <row r="93" spans="1:24" outlineLevel="3">
      <c r="A93" s="2" t="s">
        <v>159</v>
      </c>
      <c r="B93" s="3">
        <v>830506179</v>
      </c>
      <c r="C93" s="3">
        <v>0</v>
      </c>
      <c r="D93" s="2" t="s">
        <v>160</v>
      </c>
      <c r="E93" s="2">
        <v>4485818</v>
      </c>
      <c r="F93" s="2" t="s">
        <v>161</v>
      </c>
      <c r="G93" s="2" t="s">
        <v>162</v>
      </c>
      <c r="H93" s="2" t="s">
        <v>28</v>
      </c>
      <c r="I93" s="2" t="s">
        <v>11</v>
      </c>
      <c r="J93" s="2" t="s">
        <v>54</v>
      </c>
      <c r="K93" s="2" t="s">
        <v>55</v>
      </c>
      <c r="L93" s="2" t="s">
        <v>56</v>
      </c>
      <c r="M93" s="2" t="s">
        <v>32</v>
      </c>
      <c r="N93" s="3">
        <v>0</v>
      </c>
      <c r="O93" s="2" t="s">
        <v>33</v>
      </c>
      <c r="P93" s="2" t="s">
        <v>164</v>
      </c>
      <c r="Q93" s="4">
        <v>46064</v>
      </c>
      <c r="R93" s="4">
        <v>46122</v>
      </c>
      <c r="S93" s="3">
        <v>9</v>
      </c>
      <c r="T93" s="5">
        <v>0</v>
      </c>
      <c r="U93" s="2" t="s">
        <v>58</v>
      </c>
      <c r="V93" s="5">
        <v>1243264.7</v>
      </c>
      <c r="W93" s="5">
        <v>0</v>
      </c>
      <c r="X93" s="5">
        <v>0</v>
      </c>
    </row>
    <row r="94" spans="1:24" outlineLevel="3">
      <c r="A94" s="2" t="s">
        <v>159</v>
      </c>
      <c r="B94" s="3">
        <v>830506179</v>
      </c>
      <c r="C94" s="3">
        <v>0</v>
      </c>
      <c r="D94" s="2" t="s">
        <v>160</v>
      </c>
      <c r="E94" s="2">
        <v>4485818</v>
      </c>
      <c r="F94" s="2" t="s">
        <v>161</v>
      </c>
      <c r="G94" s="2" t="s">
        <v>162</v>
      </c>
      <c r="H94" s="2" t="s">
        <v>28</v>
      </c>
      <c r="I94" s="2" t="s">
        <v>11</v>
      </c>
      <c r="J94" s="2" t="s">
        <v>54</v>
      </c>
      <c r="K94" s="2" t="s">
        <v>55</v>
      </c>
      <c r="L94" s="2" t="s">
        <v>56</v>
      </c>
      <c r="M94" s="2" t="s">
        <v>32</v>
      </c>
      <c r="N94" s="3">
        <v>0</v>
      </c>
      <c r="O94" s="2" t="s">
        <v>33</v>
      </c>
      <c r="P94" s="2" t="s">
        <v>165</v>
      </c>
      <c r="Q94" s="4">
        <v>46084</v>
      </c>
      <c r="R94" s="4">
        <v>46144</v>
      </c>
      <c r="S94" s="3">
        <v>31</v>
      </c>
      <c r="T94" s="5">
        <v>0</v>
      </c>
      <c r="U94" s="2" t="s">
        <v>58</v>
      </c>
      <c r="V94" s="5">
        <v>15481428.699999999</v>
      </c>
      <c r="W94" s="5">
        <v>0</v>
      </c>
      <c r="X94" s="5">
        <v>0</v>
      </c>
    </row>
    <row r="95" spans="1:24" outlineLevel="3">
      <c r="A95" s="2" t="s">
        <v>159</v>
      </c>
      <c r="B95" s="3">
        <v>830506179</v>
      </c>
      <c r="C95" s="3">
        <v>0</v>
      </c>
      <c r="D95" s="2" t="s">
        <v>160</v>
      </c>
      <c r="E95" s="2">
        <v>4485818</v>
      </c>
      <c r="F95" s="2" t="s">
        <v>161</v>
      </c>
      <c r="G95" s="2" t="s">
        <v>162</v>
      </c>
      <c r="H95" s="2" t="s">
        <v>28</v>
      </c>
      <c r="I95" s="2" t="s">
        <v>11</v>
      </c>
      <c r="J95" s="2" t="s">
        <v>54</v>
      </c>
      <c r="K95" s="2" t="s">
        <v>55</v>
      </c>
      <c r="L95" s="2" t="s">
        <v>56</v>
      </c>
      <c r="M95" s="2" t="s">
        <v>32</v>
      </c>
      <c r="N95" s="3">
        <v>0</v>
      </c>
      <c r="O95" s="2" t="s">
        <v>33</v>
      </c>
      <c r="P95" s="2" t="s">
        <v>166</v>
      </c>
      <c r="Q95" s="4">
        <v>46098</v>
      </c>
      <c r="R95" s="4">
        <v>46158</v>
      </c>
      <c r="S95" s="3">
        <v>45</v>
      </c>
      <c r="T95" s="5">
        <v>0</v>
      </c>
      <c r="U95" s="2" t="s">
        <v>58</v>
      </c>
      <c r="V95" s="5">
        <v>1806449</v>
      </c>
      <c r="W95" s="5">
        <v>0</v>
      </c>
      <c r="X95" s="5">
        <v>0</v>
      </c>
    </row>
    <row r="96" spans="1:24" outlineLevel="3">
      <c r="A96" s="2" t="s">
        <v>159</v>
      </c>
      <c r="B96" s="3">
        <v>830506179</v>
      </c>
      <c r="C96" s="3">
        <v>0</v>
      </c>
      <c r="D96" s="2" t="s">
        <v>160</v>
      </c>
      <c r="E96" s="2">
        <v>4485818</v>
      </c>
      <c r="F96" s="2" t="s">
        <v>161</v>
      </c>
      <c r="G96" s="2" t="s">
        <v>162</v>
      </c>
      <c r="H96" s="2" t="s">
        <v>28</v>
      </c>
      <c r="I96" s="2" t="s">
        <v>11</v>
      </c>
      <c r="J96" s="2" t="s">
        <v>54</v>
      </c>
      <c r="K96" s="2" t="s">
        <v>55</v>
      </c>
      <c r="L96" s="2" t="s">
        <v>56</v>
      </c>
      <c r="M96" s="2" t="s">
        <v>32</v>
      </c>
      <c r="N96" s="3">
        <v>0</v>
      </c>
      <c r="O96" s="2" t="s">
        <v>33</v>
      </c>
      <c r="P96" s="2" t="s">
        <v>167</v>
      </c>
      <c r="Q96" s="4">
        <v>46105</v>
      </c>
      <c r="R96" s="4">
        <v>46165</v>
      </c>
      <c r="S96" s="3">
        <v>52</v>
      </c>
      <c r="T96" s="5">
        <v>0</v>
      </c>
      <c r="U96" s="2" t="s">
        <v>58</v>
      </c>
      <c r="V96" s="5">
        <v>447273.4</v>
      </c>
      <c r="W96" s="5">
        <v>0</v>
      </c>
      <c r="X96" s="5">
        <v>0</v>
      </c>
    </row>
    <row r="97" spans="1:24" outlineLevel="2">
      <c r="M97" s="14" t="s">
        <v>742</v>
      </c>
      <c r="T97" s="5">
        <f>SUBTOTAL(9,T92:T96)</f>
        <v>0</v>
      </c>
      <c r="V97" s="5">
        <f>SUBTOTAL(9,V92:V96)</f>
        <v>32401068.149999999</v>
      </c>
      <c r="W97" s="5">
        <f>SUBTOTAL(9,W92:W96)</f>
        <v>0</v>
      </c>
    </row>
    <row r="98" spans="1:24" outlineLevel="1">
      <c r="A98" s="14" t="s">
        <v>692</v>
      </c>
      <c r="T98" s="5">
        <f>SUBTOTAL(9,T92:T96)</f>
        <v>0</v>
      </c>
      <c r="V98" s="5">
        <f>SUBTOTAL(9,V92:V96)</f>
        <v>32401068.149999999</v>
      </c>
      <c r="W98" s="5">
        <f>SUBTOTAL(9,W92:W96)</f>
        <v>0</v>
      </c>
    </row>
    <row r="99" spans="1:24" outlineLevel="3">
      <c r="A99" s="2" t="s">
        <v>168</v>
      </c>
      <c r="B99" s="3">
        <v>860000135</v>
      </c>
      <c r="C99" s="3">
        <v>0</v>
      </c>
      <c r="D99" s="2" t="s">
        <v>169</v>
      </c>
      <c r="E99" s="2">
        <v>7119005</v>
      </c>
      <c r="F99" s="2" t="s">
        <v>170</v>
      </c>
      <c r="G99" s="2" t="s">
        <v>38</v>
      </c>
      <c r="H99" s="2" t="s">
        <v>28</v>
      </c>
      <c r="I99" s="2" t="s">
        <v>11</v>
      </c>
      <c r="J99" s="2" t="s">
        <v>67</v>
      </c>
      <c r="K99" s="2" t="s">
        <v>47</v>
      </c>
      <c r="L99" s="2" t="s">
        <v>48</v>
      </c>
      <c r="M99" s="2" t="s">
        <v>32</v>
      </c>
      <c r="N99" s="3">
        <v>0</v>
      </c>
      <c r="O99" s="2" t="s">
        <v>33</v>
      </c>
      <c r="P99" s="2" t="s">
        <v>171</v>
      </c>
      <c r="Q99" s="4">
        <v>46090</v>
      </c>
      <c r="R99" s="4">
        <v>46121</v>
      </c>
      <c r="S99" s="3">
        <v>8</v>
      </c>
      <c r="T99" s="5">
        <v>0</v>
      </c>
      <c r="U99" s="2" t="s">
        <v>58</v>
      </c>
      <c r="V99" s="5">
        <v>4964629.1500000004</v>
      </c>
      <c r="W99" s="5">
        <v>0</v>
      </c>
      <c r="X99" s="5">
        <v>0</v>
      </c>
    </row>
    <row r="100" spans="1:24" outlineLevel="3">
      <c r="A100" s="2" t="s">
        <v>168</v>
      </c>
      <c r="B100" s="3">
        <v>860000135</v>
      </c>
      <c r="C100" s="3">
        <v>0</v>
      </c>
      <c r="D100" s="2" t="s">
        <v>169</v>
      </c>
      <c r="E100" s="2">
        <v>7119005</v>
      </c>
      <c r="F100" s="2" t="s">
        <v>170</v>
      </c>
      <c r="G100" s="2" t="s">
        <v>38</v>
      </c>
      <c r="H100" s="2" t="s">
        <v>28</v>
      </c>
      <c r="I100" s="2" t="s">
        <v>11</v>
      </c>
      <c r="J100" s="2" t="s">
        <v>67</v>
      </c>
      <c r="K100" s="2" t="s">
        <v>47</v>
      </c>
      <c r="L100" s="2" t="s">
        <v>48</v>
      </c>
      <c r="M100" s="2" t="s">
        <v>32</v>
      </c>
      <c r="N100" s="3">
        <v>0</v>
      </c>
      <c r="O100" s="2" t="s">
        <v>33</v>
      </c>
      <c r="P100" s="2" t="s">
        <v>172</v>
      </c>
      <c r="Q100" s="4">
        <v>46098</v>
      </c>
      <c r="R100" s="4">
        <v>46129</v>
      </c>
      <c r="S100" s="3">
        <v>16</v>
      </c>
      <c r="T100" s="5">
        <v>0</v>
      </c>
      <c r="U100" s="2" t="s">
        <v>58</v>
      </c>
      <c r="V100" s="5">
        <v>4881367.62</v>
      </c>
      <c r="W100" s="5">
        <v>0</v>
      </c>
      <c r="X100" s="5">
        <v>0</v>
      </c>
    </row>
    <row r="101" spans="1:24" outlineLevel="2">
      <c r="M101" s="14" t="s">
        <v>742</v>
      </c>
      <c r="T101" s="5">
        <f>SUBTOTAL(9,T99:T100)</f>
        <v>0</v>
      </c>
      <c r="V101" s="5">
        <f>SUBTOTAL(9,V99:V100)</f>
        <v>9845996.7699999996</v>
      </c>
      <c r="W101" s="5">
        <f>SUBTOTAL(9,W99:W100)</f>
        <v>0</v>
      </c>
    </row>
    <row r="102" spans="1:24" outlineLevel="1">
      <c r="A102" s="14" t="s">
        <v>693</v>
      </c>
      <c r="T102" s="5">
        <f>SUBTOTAL(9,T99:T100)</f>
        <v>0</v>
      </c>
      <c r="V102" s="5">
        <f>SUBTOTAL(9,V99:V100)</f>
        <v>9845996.7699999996</v>
      </c>
      <c r="W102" s="5">
        <f>SUBTOTAL(9,W99:W100)</f>
        <v>0</v>
      </c>
    </row>
    <row r="103" spans="1:24" outlineLevel="3">
      <c r="A103" s="2" t="s">
        <v>173</v>
      </c>
      <c r="B103" s="3">
        <v>860001777</v>
      </c>
      <c r="C103" s="3">
        <v>0</v>
      </c>
      <c r="D103" s="2" t="s">
        <v>174</v>
      </c>
      <c r="E103" s="2">
        <v>4464264</v>
      </c>
      <c r="F103" s="2" t="s">
        <v>175</v>
      </c>
      <c r="G103" s="2" t="s">
        <v>38</v>
      </c>
      <c r="H103" s="2" t="s">
        <v>28</v>
      </c>
      <c r="I103" s="2" t="s">
        <v>11</v>
      </c>
      <c r="J103" s="2" t="s">
        <v>59</v>
      </c>
      <c r="K103" s="2" t="s">
        <v>85</v>
      </c>
      <c r="L103" s="2" t="s">
        <v>86</v>
      </c>
      <c r="M103" s="2" t="s">
        <v>32</v>
      </c>
      <c r="N103" s="3">
        <v>0</v>
      </c>
      <c r="O103" s="2" t="s">
        <v>33</v>
      </c>
      <c r="P103" s="2" t="s">
        <v>176</v>
      </c>
      <c r="Q103" s="4">
        <v>46041</v>
      </c>
      <c r="R103" s="4">
        <v>46099</v>
      </c>
      <c r="S103" s="3">
        <v>-13</v>
      </c>
      <c r="T103" s="5">
        <v>0</v>
      </c>
      <c r="U103" s="2" t="s">
        <v>20</v>
      </c>
      <c r="V103" s="5">
        <v>698437.48</v>
      </c>
      <c r="W103" s="5">
        <v>698437.48</v>
      </c>
      <c r="X103" s="5">
        <v>698437.48</v>
      </c>
    </row>
    <row r="104" spans="1:24" outlineLevel="3">
      <c r="A104" s="2" t="s">
        <v>173</v>
      </c>
      <c r="B104" s="3">
        <v>860001777</v>
      </c>
      <c r="C104" s="3">
        <v>0</v>
      </c>
      <c r="D104" s="2" t="s">
        <v>174</v>
      </c>
      <c r="E104" s="2">
        <v>4464264</v>
      </c>
      <c r="F104" s="2" t="s">
        <v>175</v>
      </c>
      <c r="G104" s="2" t="s">
        <v>38</v>
      </c>
      <c r="H104" s="2" t="s">
        <v>28</v>
      </c>
      <c r="I104" s="2" t="s">
        <v>11</v>
      </c>
      <c r="J104" s="2" t="s">
        <v>106</v>
      </c>
      <c r="K104" s="2" t="s">
        <v>85</v>
      </c>
      <c r="L104" s="2" t="s">
        <v>86</v>
      </c>
      <c r="M104" s="2" t="s">
        <v>32</v>
      </c>
      <c r="N104" s="3">
        <v>0</v>
      </c>
      <c r="O104" s="2" t="s">
        <v>33</v>
      </c>
      <c r="P104" s="2" t="s">
        <v>177</v>
      </c>
      <c r="Q104" s="4">
        <v>46044</v>
      </c>
      <c r="R104" s="4">
        <v>46102</v>
      </c>
      <c r="S104" s="3">
        <v>-10</v>
      </c>
      <c r="T104" s="5">
        <v>0</v>
      </c>
      <c r="U104" s="2" t="s">
        <v>20</v>
      </c>
      <c r="V104" s="5">
        <v>61520310.939999998</v>
      </c>
      <c r="W104" s="5">
        <v>61520310.939999998</v>
      </c>
      <c r="X104" s="5">
        <v>62218748.420000002</v>
      </c>
    </row>
    <row r="105" spans="1:24" outlineLevel="3">
      <c r="A105" s="2" t="s">
        <v>173</v>
      </c>
      <c r="B105" s="3">
        <v>860001777</v>
      </c>
      <c r="C105" s="3">
        <v>0</v>
      </c>
      <c r="D105" s="2" t="s">
        <v>174</v>
      </c>
      <c r="E105" s="2">
        <v>4464264</v>
      </c>
      <c r="F105" s="2" t="s">
        <v>175</v>
      </c>
      <c r="G105" s="2" t="s">
        <v>38</v>
      </c>
      <c r="H105" s="2" t="s">
        <v>28</v>
      </c>
      <c r="I105" s="2" t="s">
        <v>11</v>
      </c>
      <c r="J105" s="2" t="s">
        <v>106</v>
      </c>
      <c r="K105" s="2" t="s">
        <v>85</v>
      </c>
      <c r="L105" s="2" t="s">
        <v>86</v>
      </c>
      <c r="M105" s="2" t="s">
        <v>32</v>
      </c>
      <c r="N105" s="3">
        <v>0</v>
      </c>
      <c r="O105" s="2" t="s">
        <v>33</v>
      </c>
      <c r="P105" s="2" t="s">
        <v>178</v>
      </c>
      <c r="Q105" s="4">
        <v>46044</v>
      </c>
      <c r="R105" s="4">
        <v>46102</v>
      </c>
      <c r="S105" s="3">
        <v>-10</v>
      </c>
      <c r="T105" s="5">
        <v>0</v>
      </c>
      <c r="U105" s="2" t="s">
        <v>20</v>
      </c>
      <c r="V105" s="5">
        <v>46467104.490000002</v>
      </c>
      <c r="W105" s="5">
        <v>46467104.490000002</v>
      </c>
      <c r="X105" s="5">
        <v>108685852.91</v>
      </c>
    </row>
    <row r="106" spans="1:24" outlineLevel="3">
      <c r="A106" s="2" t="s">
        <v>173</v>
      </c>
      <c r="B106" s="3">
        <v>860001777</v>
      </c>
      <c r="C106" s="3">
        <v>0</v>
      </c>
      <c r="D106" s="2" t="s">
        <v>174</v>
      </c>
      <c r="E106" s="2">
        <v>4464264</v>
      </c>
      <c r="F106" s="2" t="s">
        <v>175</v>
      </c>
      <c r="G106" s="2" t="s">
        <v>38</v>
      </c>
      <c r="H106" s="2" t="s">
        <v>28</v>
      </c>
      <c r="I106" s="2" t="s">
        <v>11</v>
      </c>
      <c r="J106" s="2" t="s">
        <v>106</v>
      </c>
      <c r="K106" s="2" t="s">
        <v>85</v>
      </c>
      <c r="L106" s="2" t="s">
        <v>86</v>
      </c>
      <c r="M106" s="2" t="s">
        <v>32</v>
      </c>
      <c r="N106" s="3">
        <v>0</v>
      </c>
      <c r="O106" s="2" t="s">
        <v>33</v>
      </c>
      <c r="P106" s="2" t="s">
        <v>179</v>
      </c>
      <c r="Q106" s="4">
        <v>46044</v>
      </c>
      <c r="R106" s="4">
        <v>46102</v>
      </c>
      <c r="S106" s="3">
        <v>-10</v>
      </c>
      <c r="T106" s="5">
        <v>0</v>
      </c>
      <c r="U106" s="2" t="s">
        <v>20</v>
      </c>
      <c r="V106" s="5">
        <v>8846318.1799999997</v>
      </c>
      <c r="W106" s="5">
        <v>8846318.1799999997</v>
      </c>
      <c r="X106" s="5">
        <v>117532171.09</v>
      </c>
    </row>
    <row r="107" spans="1:24" outlineLevel="3">
      <c r="A107" s="2" t="s">
        <v>173</v>
      </c>
      <c r="B107" s="3">
        <v>860001777</v>
      </c>
      <c r="C107" s="3">
        <v>0</v>
      </c>
      <c r="D107" s="2" t="s">
        <v>174</v>
      </c>
      <c r="E107" s="2">
        <v>4464264</v>
      </c>
      <c r="F107" s="2" t="s">
        <v>175</v>
      </c>
      <c r="G107" s="2" t="s">
        <v>38</v>
      </c>
      <c r="H107" s="2" t="s">
        <v>28</v>
      </c>
      <c r="I107" s="2" t="s">
        <v>11</v>
      </c>
      <c r="J107" s="2" t="s">
        <v>106</v>
      </c>
      <c r="K107" s="2" t="s">
        <v>85</v>
      </c>
      <c r="L107" s="2" t="s">
        <v>86</v>
      </c>
      <c r="M107" s="2" t="s">
        <v>32</v>
      </c>
      <c r="N107" s="3">
        <v>0</v>
      </c>
      <c r="O107" s="2" t="s">
        <v>33</v>
      </c>
      <c r="P107" s="2" t="s">
        <v>180</v>
      </c>
      <c r="Q107" s="4">
        <v>46049</v>
      </c>
      <c r="R107" s="4">
        <v>46107</v>
      </c>
      <c r="S107" s="3">
        <v>-5</v>
      </c>
      <c r="T107" s="5">
        <v>0</v>
      </c>
      <c r="U107" s="2" t="s">
        <v>20</v>
      </c>
      <c r="V107" s="5">
        <v>5384065.5800000001</v>
      </c>
      <c r="W107" s="5">
        <v>5384065.5800000001</v>
      </c>
      <c r="X107" s="5">
        <v>122916236.67</v>
      </c>
    </row>
    <row r="108" spans="1:24" outlineLevel="3">
      <c r="A108" s="2" t="s">
        <v>173</v>
      </c>
      <c r="B108" s="3">
        <v>860001777</v>
      </c>
      <c r="C108" s="3">
        <v>0</v>
      </c>
      <c r="D108" s="2" t="s">
        <v>174</v>
      </c>
      <c r="E108" s="2">
        <v>4464264</v>
      </c>
      <c r="F108" s="2" t="s">
        <v>175</v>
      </c>
      <c r="G108" s="2" t="s">
        <v>38</v>
      </c>
      <c r="H108" s="2" t="s">
        <v>28</v>
      </c>
      <c r="I108" s="2" t="s">
        <v>11</v>
      </c>
      <c r="J108" s="2" t="s">
        <v>106</v>
      </c>
      <c r="K108" s="2" t="s">
        <v>85</v>
      </c>
      <c r="L108" s="2" t="s">
        <v>86</v>
      </c>
      <c r="M108" s="2" t="s">
        <v>32</v>
      </c>
      <c r="N108" s="3">
        <v>0</v>
      </c>
      <c r="O108" s="2" t="s">
        <v>33</v>
      </c>
      <c r="P108" s="2" t="s">
        <v>181</v>
      </c>
      <c r="Q108" s="4">
        <v>46049</v>
      </c>
      <c r="R108" s="4">
        <v>46107</v>
      </c>
      <c r="S108" s="3">
        <v>-5</v>
      </c>
      <c r="T108" s="5">
        <v>0</v>
      </c>
      <c r="U108" s="2" t="s">
        <v>20</v>
      </c>
      <c r="V108" s="5">
        <v>8037022.4100000001</v>
      </c>
      <c r="W108" s="5">
        <v>8037022.4100000001</v>
      </c>
      <c r="X108" s="5">
        <v>130953259.08</v>
      </c>
    </row>
    <row r="109" spans="1:24" outlineLevel="3">
      <c r="A109" s="2" t="s">
        <v>173</v>
      </c>
      <c r="B109" s="3">
        <v>860001777</v>
      </c>
      <c r="C109" s="3">
        <v>0</v>
      </c>
      <c r="D109" s="2" t="s">
        <v>174</v>
      </c>
      <c r="E109" s="2">
        <v>4464264</v>
      </c>
      <c r="F109" s="2" t="s">
        <v>175</v>
      </c>
      <c r="G109" s="2" t="s">
        <v>38</v>
      </c>
      <c r="H109" s="2" t="s">
        <v>28</v>
      </c>
      <c r="I109" s="2" t="s">
        <v>11</v>
      </c>
      <c r="J109" s="2" t="s">
        <v>106</v>
      </c>
      <c r="K109" s="2" t="s">
        <v>85</v>
      </c>
      <c r="L109" s="2" t="s">
        <v>86</v>
      </c>
      <c r="M109" s="2" t="s">
        <v>32</v>
      </c>
      <c r="N109" s="3">
        <v>0</v>
      </c>
      <c r="O109" s="2" t="s">
        <v>33</v>
      </c>
      <c r="P109" s="2" t="s">
        <v>182</v>
      </c>
      <c r="Q109" s="4">
        <v>46051</v>
      </c>
      <c r="R109" s="4">
        <v>46109</v>
      </c>
      <c r="S109" s="3">
        <v>-3</v>
      </c>
      <c r="T109" s="5">
        <v>0</v>
      </c>
      <c r="U109" s="2" t="s">
        <v>20</v>
      </c>
      <c r="V109" s="5">
        <v>2826907.92</v>
      </c>
      <c r="W109" s="5">
        <v>2826907.92</v>
      </c>
      <c r="X109" s="5">
        <v>133780167</v>
      </c>
    </row>
    <row r="110" spans="1:24" outlineLevel="3">
      <c r="A110" s="2" t="s">
        <v>173</v>
      </c>
      <c r="B110" s="3">
        <v>860001777</v>
      </c>
      <c r="C110" s="3">
        <v>0</v>
      </c>
      <c r="D110" s="2" t="s">
        <v>174</v>
      </c>
      <c r="E110" s="2">
        <v>4464264</v>
      </c>
      <c r="F110" s="2" t="s">
        <v>175</v>
      </c>
      <c r="G110" s="2" t="s">
        <v>38</v>
      </c>
      <c r="H110" s="2" t="s">
        <v>28</v>
      </c>
      <c r="I110" s="2" t="s">
        <v>11</v>
      </c>
      <c r="J110" s="2" t="s">
        <v>106</v>
      </c>
      <c r="K110" s="2" t="s">
        <v>85</v>
      </c>
      <c r="L110" s="2" t="s">
        <v>86</v>
      </c>
      <c r="M110" s="2" t="s">
        <v>32</v>
      </c>
      <c r="N110" s="3">
        <v>0</v>
      </c>
      <c r="O110" s="2" t="s">
        <v>33</v>
      </c>
      <c r="P110" s="2" t="s">
        <v>183</v>
      </c>
      <c r="Q110" s="4">
        <v>46051</v>
      </c>
      <c r="R110" s="4">
        <v>46109</v>
      </c>
      <c r="S110" s="3">
        <v>-3</v>
      </c>
      <c r="T110" s="5">
        <v>0</v>
      </c>
      <c r="U110" s="2" t="s">
        <v>20</v>
      </c>
      <c r="V110" s="5">
        <v>18823764.18</v>
      </c>
      <c r="W110" s="5">
        <v>18823764.18</v>
      </c>
      <c r="X110" s="5">
        <v>152603931.18000001</v>
      </c>
    </row>
    <row r="111" spans="1:24" outlineLevel="3">
      <c r="A111" s="2" t="s">
        <v>173</v>
      </c>
      <c r="B111" s="3">
        <v>860001777</v>
      </c>
      <c r="C111" s="3">
        <v>0</v>
      </c>
      <c r="D111" s="2" t="s">
        <v>174</v>
      </c>
      <c r="E111" s="2">
        <v>4464264</v>
      </c>
      <c r="F111" s="2" t="s">
        <v>175</v>
      </c>
      <c r="G111" s="2" t="s">
        <v>38</v>
      </c>
      <c r="H111" s="2" t="s">
        <v>28</v>
      </c>
      <c r="I111" s="2" t="s">
        <v>11</v>
      </c>
      <c r="J111" s="2" t="s">
        <v>106</v>
      </c>
      <c r="K111" s="2" t="s">
        <v>85</v>
      </c>
      <c r="L111" s="2" t="s">
        <v>86</v>
      </c>
      <c r="M111" s="2" t="s">
        <v>32</v>
      </c>
      <c r="N111" s="3">
        <v>0</v>
      </c>
      <c r="O111" s="2" t="s">
        <v>33</v>
      </c>
      <c r="P111" s="2" t="s">
        <v>184</v>
      </c>
      <c r="Q111" s="4">
        <v>46058</v>
      </c>
      <c r="R111" s="4">
        <v>46116</v>
      </c>
      <c r="S111" s="3">
        <v>3</v>
      </c>
      <c r="T111" s="5">
        <v>0</v>
      </c>
      <c r="U111" s="2" t="s">
        <v>58</v>
      </c>
      <c r="V111" s="5">
        <v>89472539.370000005</v>
      </c>
      <c r="W111" s="5">
        <v>0</v>
      </c>
      <c r="X111" s="5">
        <v>152603931.18000001</v>
      </c>
    </row>
    <row r="112" spans="1:24" outlineLevel="3">
      <c r="A112" s="2" t="s">
        <v>173</v>
      </c>
      <c r="B112" s="3">
        <v>860001777</v>
      </c>
      <c r="C112" s="3">
        <v>0</v>
      </c>
      <c r="D112" s="2" t="s">
        <v>174</v>
      </c>
      <c r="E112" s="2">
        <v>4464264</v>
      </c>
      <c r="F112" s="2" t="s">
        <v>175</v>
      </c>
      <c r="G112" s="2" t="s">
        <v>38</v>
      </c>
      <c r="H112" s="2" t="s">
        <v>28</v>
      </c>
      <c r="I112" s="2" t="s">
        <v>11</v>
      </c>
      <c r="J112" s="2" t="s">
        <v>106</v>
      </c>
      <c r="K112" s="2" t="s">
        <v>85</v>
      </c>
      <c r="L112" s="2" t="s">
        <v>86</v>
      </c>
      <c r="M112" s="2" t="s">
        <v>32</v>
      </c>
      <c r="N112" s="3">
        <v>0</v>
      </c>
      <c r="O112" s="2" t="s">
        <v>33</v>
      </c>
      <c r="P112" s="2" t="s">
        <v>185</v>
      </c>
      <c r="Q112" s="4">
        <v>46058</v>
      </c>
      <c r="R112" s="4">
        <v>46116</v>
      </c>
      <c r="S112" s="3">
        <v>3</v>
      </c>
      <c r="T112" s="5">
        <v>0</v>
      </c>
      <c r="U112" s="2" t="s">
        <v>58</v>
      </c>
      <c r="V112" s="5">
        <v>1370044.97</v>
      </c>
      <c r="W112" s="5">
        <v>0</v>
      </c>
      <c r="X112" s="5">
        <v>152603931.18000001</v>
      </c>
    </row>
    <row r="113" spans="1:24" outlineLevel="3">
      <c r="A113" s="2" t="s">
        <v>173</v>
      </c>
      <c r="B113" s="3">
        <v>860001777</v>
      </c>
      <c r="C113" s="3">
        <v>0</v>
      </c>
      <c r="D113" s="2" t="s">
        <v>174</v>
      </c>
      <c r="E113" s="2">
        <v>4464264</v>
      </c>
      <c r="F113" s="2" t="s">
        <v>175</v>
      </c>
      <c r="G113" s="2" t="s">
        <v>38</v>
      </c>
      <c r="H113" s="2" t="s">
        <v>28</v>
      </c>
      <c r="I113" s="2" t="s">
        <v>11</v>
      </c>
      <c r="J113" s="2" t="s">
        <v>106</v>
      </c>
      <c r="K113" s="2" t="s">
        <v>85</v>
      </c>
      <c r="L113" s="2" t="s">
        <v>86</v>
      </c>
      <c r="M113" s="2" t="s">
        <v>32</v>
      </c>
      <c r="N113" s="3">
        <v>0</v>
      </c>
      <c r="O113" s="2" t="s">
        <v>33</v>
      </c>
      <c r="P113" s="2" t="s">
        <v>186</v>
      </c>
      <c r="Q113" s="4">
        <v>46064</v>
      </c>
      <c r="R113" s="4">
        <v>46122</v>
      </c>
      <c r="S113" s="3">
        <v>9</v>
      </c>
      <c r="T113" s="5">
        <v>0</v>
      </c>
      <c r="U113" s="2" t="s">
        <v>58</v>
      </c>
      <c r="V113" s="5">
        <v>3257193.79</v>
      </c>
      <c r="W113" s="5">
        <v>0</v>
      </c>
      <c r="X113" s="5">
        <v>152603931.18000001</v>
      </c>
    </row>
    <row r="114" spans="1:24" outlineLevel="3">
      <c r="A114" s="2" t="s">
        <v>173</v>
      </c>
      <c r="B114" s="3">
        <v>860001777</v>
      </c>
      <c r="C114" s="3">
        <v>0</v>
      </c>
      <c r="D114" s="2" t="s">
        <v>174</v>
      </c>
      <c r="E114" s="2">
        <v>4464264</v>
      </c>
      <c r="F114" s="2" t="s">
        <v>175</v>
      </c>
      <c r="G114" s="2" t="s">
        <v>38</v>
      </c>
      <c r="H114" s="2" t="s">
        <v>28</v>
      </c>
      <c r="I114" s="2" t="s">
        <v>11</v>
      </c>
      <c r="J114" s="2" t="s">
        <v>106</v>
      </c>
      <c r="K114" s="2" t="s">
        <v>85</v>
      </c>
      <c r="L114" s="2" t="s">
        <v>86</v>
      </c>
      <c r="M114" s="2" t="s">
        <v>32</v>
      </c>
      <c r="N114" s="3">
        <v>0</v>
      </c>
      <c r="O114" s="2" t="s">
        <v>33</v>
      </c>
      <c r="P114" s="2" t="s">
        <v>187</v>
      </c>
      <c r="Q114" s="4">
        <v>46079</v>
      </c>
      <c r="R114" s="4">
        <v>46137</v>
      </c>
      <c r="S114" s="3">
        <v>24</v>
      </c>
      <c r="T114" s="5">
        <v>0</v>
      </c>
      <c r="U114" s="2" t="s">
        <v>58</v>
      </c>
      <c r="V114" s="5">
        <v>6618470.1100000003</v>
      </c>
      <c r="W114" s="5">
        <v>0</v>
      </c>
      <c r="X114" s="5">
        <v>152603931.18000001</v>
      </c>
    </row>
    <row r="115" spans="1:24" outlineLevel="3">
      <c r="A115" s="2" t="s">
        <v>173</v>
      </c>
      <c r="B115" s="3">
        <v>860001777</v>
      </c>
      <c r="C115" s="3">
        <v>0</v>
      </c>
      <c r="D115" s="2" t="s">
        <v>174</v>
      </c>
      <c r="E115" s="2">
        <v>4464264</v>
      </c>
      <c r="F115" s="2" t="s">
        <v>175</v>
      </c>
      <c r="G115" s="2" t="s">
        <v>38</v>
      </c>
      <c r="H115" s="2" t="s">
        <v>28</v>
      </c>
      <c r="I115" s="2" t="s">
        <v>11</v>
      </c>
      <c r="J115" s="2" t="s">
        <v>106</v>
      </c>
      <c r="K115" s="2" t="s">
        <v>85</v>
      </c>
      <c r="L115" s="2" t="s">
        <v>86</v>
      </c>
      <c r="M115" s="2" t="s">
        <v>32</v>
      </c>
      <c r="N115" s="3">
        <v>0</v>
      </c>
      <c r="O115" s="2" t="s">
        <v>33</v>
      </c>
      <c r="P115" s="2" t="s">
        <v>188</v>
      </c>
      <c r="Q115" s="4">
        <v>46079</v>
      </c>
      <c r="R115" s="4">
        <v>46137</v>
      </c>
      <c r="S115" s="3">
        <v>24</v>
      </c>
      <c r="T115" s="5">
        <v>0</v>
      </c>
      <c r="U115" s="2" t="s">
        <v>58</v>
      </c>
      <c r="V115" s="5">
        <v>10138897.73</v>
      </c>
      <c r="W115" s="5">
        <v>0</v>
      </c>
      <c r="X115" s="5">
        <v>152603931.18000001</v>
      </c>
    </row>
    <row r="116" spans="1:24" outlineLevel="3">
      <c r="A116" s="2" t="s">
        <v>173</v>
      </c>
      <c r="B116" s="3">
        <v>860001777</v>
      </c>
      <c r="C116" s="3">
        <v>0</v>
      </c>
      <c r="D116" s="2" t="s">
        <v>174</v>
      </c>
      <c r="E116" s="2">
        <v>4464264</v>
      </c>
      <c r="F116" s="2" t="s">
        <v>175</v>
      </c>
      <c r="G116" s="2" t="s">
        <v>38</v>
      </c>
      <c r="H116" s="2" t="s">
        <v>28</v>
      </c>
      <c r="I116" s="2" t="s">
        <v>11</v>
      </c>
      <c r="J116" s="2" t="s">
        <v>106</v>
      </c>
      <c r="K116" s="2" t="s">
        <v>85</v>
      </c>
      <c r="L116" s="2" t="s">
        <v>86</v>
      </c>
      <c r="M116" s="2" t="s">
        <v>32</v>
      </c>
      <c r="N116" s="3">
        <v>0</v>
      </c>
      <c r="O116" s="2" t="s">
        <v>33</v>
      </c>
      <c r="P116" s="2" t="s">
        <v>189</v>
      </c>
      <c r="Q116" s="4">
        <v>46084</v>
      </c>
      <c r="R116" s="4">
        <v>46144</v>
      </c>
      <c r="S116" s="3">
        <v>31</v>
      </c>
      <c r="T116" s="5">
        <v>0</v>
      </c>
      <c r="U116" s="2" t="s">
        <v>58</v>
      </c>
      <c r="V116" s="5">
        <v>4848042.75</v>
      </c>
      <c r="W116" s="5">
        <v>0</v>
      </c>
      <c r="X116" s="5">
        <v>152603931.18000001</v>
      </c>
    </row>
    <row r="117" spans="1:24" outlineLevel="3">
      <c r="A117" s="2" t="s">
        <v>173</v>
      </c>
      <c r="B117" s="3">
        <v>860001777</v>
      </c>
      <c r="C117" s="3">
        <v>0</v>
      </c>
      <c r="D117" s="2" t="s">
        <v>174</v>
      </c>
      <c r="E117" s="2">
        <v>4464264</v>
      </c>
      <c r="F117" s="2" t="s">
        <v>175</v>
      </c>
      <c r="G117" s="2" t="s">
        <v>38</v>
      </c>
      <c r="H117" s="2" t="s">
        <v>28</v>
      </c>
      <c r="I117" s="2" t="s">
        <v>11</v>
      </c>
      <c r="J117" s="2" t="s">
        <v>106</v>
      </c>
      <c r="K117" s="2" t="s">
        <v>85</v>
      </c>
      <c r="L117" s="2" t="s">
        <v>86</v>
      </c>
      <c r="M117" s="2" t="s">
        <v>32</v>
      </c>
      <c r="N117" s="3">
        <v>0</v>
      </c>
      <c r="O117" s="2" t="s">
        <v>33</v>
      </c>
      <c r="P117" s="2" t="s">
        <v>190</v>
      </c>
      <c r="Q117" s="4">
        <v>46084</v>
      </c>
      <c r="R117" s="4">
        <v>46144</v>
      </c>
      <c r="S117" s="3">
        <v>31</v>
      </c>
      <c r="T117" s="5">
        <v>0</v>
      </c>
      <c r="U117" s="2" t="s">
        <v>58</v>
      </c>
      <c r="V117" s="5">
        <v>4293139.2</v>
      </c>
      <c r="W117" s="5">
        <v>0</v>
      </c>
      <c r="X117" s="5">
        <v>152603931.18000001</v>
      </c>
    </row>
    <row r="118" spans="1:24" outlineLevel="3">
      <c r="A118" s="2" t="s">
        <v>173</v>
      </c>
      <c r="B118" s="3">
        <v>860001777</v>
      </c>
      <c r="C118" s="3">
        <v>0</v>
      </c>
      <c r="D118" s="2" t="s">
        <v>174</v>
      </c>
      <c r="E118" s="2">
        <v>4464264</v>
      </c>
      <c r="F118" s="2" t="s">
        <v>175</v>
      </c>
      <c r="G118" s="2" t="s">
        <v>38</v>
      </c>
      <c r="H118" s="2" t="s">
        <v>28</v>
      </c>
      <c r="I118" s="2" t="s">
        <v>11</v>
      </c>
      <c r="J118" s="2" t="s">
        <v>106</v>
      </c>
      <c r="K118" s="2" t="s">
        <v>85</v>
      </c>
      <c r="L118" s="2" t="s">
        <v>86</v>
      </c>
      <c r="M118" s="2" t="s">
        <v>32</v>
      </c>
      <c r="N118" s="3">
        <v>0</v>
      </c>
      <c r="O118" s="2" t="s">
        <v>33</v>
      </c>
      <c r="P118" s="2" t="s">
        <v>191</v>
      </c>
      <c r="Q118" s="4">
        <v>46092</v>
      </c>
      <c r="R118" s="4">
        <v>46152</v>
      </c>
      <c r="S118" s="3">
        <v>39</v>
      </c>
      <c r="T118" s="5">
        <v>0</v>
      </c>
      <c r="U118" s="2" t="s">
        <v>58</v>
      </c>
      <c r="V118" s="5">
        <v>18942639.77</v>
      </c>
      <c r="W118" s="5">
        <v>0</v>
      </c>
      <c r="X118" s="5">
        <v>152603931.18000001</v>
      </c>
    </row>
    <row r="119" spans="1:24" outlineLevel="3">
      <c r="A119" s="2" t="s">
        <v>173</v>
      </c>
      <c r="B119" s="3">
        <v>860001777</v>
      </c>
      <c r="C119" s="3">
        <v>0</v>
      </c>
      <c r="D119" s="2" t="s">
        <v>174</v>
      </c>
      <c r="E119" s="2">
        <v>4464264</v>
      </c>
      <c r="F119" s="2" t="s">
        <v>175</v>
      </c>
      <c r="G119" s="2" t="s">
        <v>38</v>
      </c>
      <c r="H119" s="2" t="s">
        <v>28</v>
      </c>
      <c r="I119" s="2" t="s">
        <v>11</v>
      </c>
      <c r="J119" s="2" t="s">
        <v>106</v>
      </c>
      <c r="K119" s="2" t="s">
        <v>85</v>
      </c>
      <c r="L119" s="2" t="s">
        <v>86</v>
      </c>
      <c r="M119" s="2" t="s">
        <v>32</v>
      </c>
      <c r="N119" s="3">
        <v>0</v>
      </c>
      <c r="O119" s="2" t="s">
        <v>33</v>
      </c>
      <c r="P119" s="2" t="s">
        <v>192</v>
      </c>
      <c r="Q119" s="4">
        <v>46092</v>
      </c>
      <c r="R119" s="4">
        <v>46152</v>
      </c>
      <c r="S119" s="3">
        <v>39</v>
      </c>
      <c r="T119" s="5">
        <v>0</v>
      </c>
      <c r="U119" s="2" t="s">
        <v>58</v>
      </c>
      <c r="V119" s="5">
        <v>41756541.170000002</v>
      </c>
      <c r="W119" s="5">
        <v>0</v>
      </c>
      <c r="X119" s="5">
        <v>152603931.18000001</v>
      </c>
    </row>
    <row r="120" spans="1:24" outlineLevel="3">
      <c r="A120" s="2" t="s">
        <v>173</v>
      </c>
      <c r="B120" s="3">
        <v>860001777</v>
      </c>
      <c r="C120" s="3">
        <v>0</v>
      </c>
      <c r="D120" s="2" t="s">
        <v>174</v>
      </c>
      <c r="E120" s="2">
        <v>4464264</v>
      </c>
      <c r="F120" s="2" t="s">
        <v>175</v>
      </c>
      <c r="G120" s="2" t="s">
        <v>38</v>
      </c>
      <c r="H120" s="2" t="s">
        <v>28</v>
      </c>
      <c r="I120" s="2" t="s">
        <v>11</v>
      </c>
      <c r="J120" s="2" t="s">
        <v>106</v>
      </c>
      <c r="K120" s="2" t="s">
        <v>85</v>
      </c>
      <c r="L120" s="2" t="s">
        <v>86</v>
      </c>
      <c r="M120" s="2" t="s">
        <v>32</v>
      </c>
      <c r="N120" s="3">
        <v>0</v>
      </c>
      <c r="O120" s="2" t="s">
        <v>33</v>
      </c>
      <c r="P120" s="2" t="s">
        <v>193</v>
      </c>
      <c r="Q120" s="4">
        <v>46097</v>
      </c>
      <c r="R120" s="4">
        <v>46157</v>
      </c>
      <c r="S120" s="3">
        <v>44</v>
      </c>
      <c r="T120" s="5">
        <v>0</v>
      </c>
      <c r="U120" s="2" t="s">
        <v>58</v>
      </c>
      <c r="V120" s="5">
        <v>20528739.289999999</v>
      </c>
      <c r="W120" s="5">
        <v>0</v>
      </c>
      <c r="X120" s="5">
        <v>152603931.18000001</v>
      </c>
    </row>
    <row r="121" spans="1:24" outlineLevel="3">
      <c r="A121" s="2" t="s">
        <v>173</v>
      </c>
      <c r="B121" s="3">
        <v>860001777</v>
      </c>
      <c r="C121" s="3">
        <v>0</v>
      </c>
      <c r="D121" s="2" t="s">
        <v>174</v>
      </c>
      <c r="E121" s="2">
        <v>4464264</v>
      </c>
      <c r="F121" s="2" t="s">
        <v>175</v>
      </c>
      <c r="G121" s="2" t="s">
        <v>38</v>
      </c>
      <c r="H121" s="2" t="s">
        <v>28</v>
      </c>
      <c r="I121" s="2" t="s">
        <v>11</v>
      </c>
      <c r="J121" s="2" t="s">
        <v>106</v>
      </c>
      <c r="K121" s="2" t="s">
        <v>85</v>
      </c>
      <c r="L121" s="2" t="s">
        <v>86</v>
      </c>
      <c r="M121" s="2" t="s">
        <v>32</v>
      </c>
      <c r="N121" s="3">
        <v>0</v>
      </c>
      <c r="O121" s="2" t="s">
        <v>33</v>
      </c>
      <c r="P121" s="2" t="s">
        <v>194</v>
      </c>
      <c r="Q121" s="4">
        <v>46097</v>
      </c>
      <c r="R121" s="4">
        <v>46157</v>
      </c>
      <c r="S121" s="3">
        <v>44</v>
      </c>
      <c r="T121" s="5">
        <v>0</v>
      </c>
      <c r="U121" s="2" t="s">
        <v>58</v>
      </c>
      <c r="V121" s="5">
        <v>8385014.6399999997</v>
      </c>
      <c r="W121" s="5">
        <v>0</v>
      </c>
      <c r="X121" s="5">
        <v>152603931.18000001</v>
      </c>
    </row>
    <row r="122" spans="1:24" outlineLevel="3">
      <c r="A122" s="2" t="s">
        <v>173</v>
      </c>
      <c r="B122" s="3">
        <v>860001777</v>
      </c>
      <c r="C122" s="3">
        <v>0</v>
      </c>
      <c r="D122" s="2" t="s">
        <v>174</v>
      </c>
      <c r="E122" s="2">
        <v>4464264</v>
      </c>
      <c r="F122" s="2" t="s">
        <v>175</v>
      </c>
      <c r="G122" s="2" t="s">
        <v>38</v>
      </c>
      <c r="H122" s="2" t="s">
        <v>28</v>
      </c>
      <c r="I122" s="2" t="s">
        <v>11</v>
      </c>
      <c r="J122" s="2" t="s">
        <v>106</v>
      </c>
      <c r="K122" s="2" t="s">
        <v>85</v>
      </c>
      <c r="L122" s="2" t="s">
        <v>86</v>
      </c>
      <c r="M122" s="2" t="s">
        <v>32</v>
      </c>
      <c r="N122" s="3">
        <v>0</v>
      </c>
      <c r="O122" s="2" t="s">
        <v>33</v>
      </c>
      <c r="P122" s="2" t="s">
        <v>195</v>
      </c>
      <c r="Q122" s="4">
        <v>46097</v>
      </c>
      <c r="R122" s="4">
        <v>46157</v>
      </c>
      <c r="S122" s="3">
        <v>44</v>
      </c>
      <c r="T122" s="5">
        <v>0</v>
      </c>
      <c r="U122" s="2" t="s">
        <v>58</v>
      </c>
      <c r="V122" s="5">
        <v>1654617.52</v>
      </c>
      <c r="W122" s="5">
        <v>0</v>
      </c>
      <c r="X122" s="5">
        <v>152603931.18000001</v>
      </c>
    </row>
    <row r="123" spans="1:24" outlineLevel="3">
      <c r="A123" s="2" t="s">
        <v>173</v>
      </c>
      <c r="B123" s="3">
        <v>860001777</v>
      </c>
      <c r="C123" s="3">
        <v>0</v>
      </c>
      <c r="D123" s="2" t="s">
        <v>174</v>
      </c>
      <c r="E123" s="2">
        <v>4464264</v>
      </c>
      <c r="F123" s="2" t="s">
        <v>175</v>
      </c>
      <c r="G123" s="2" t="s">
        <v>38</v>
      </c>
      <c r="H123" s="2" t="s">
        <v>28</v>
      </c>
      <c r="I123" s="2" t="s">
        <v>11</v>
      </c>
      <c r="J123" s="2" t="s">
        <v>106</v>
      </c>
      <c r="K123" s="2" t="s">
        <v>85</v>
      </c>
      <c r="L123" s="2" t="s">
        <v>86</v>
      </c>
      <c r="M123" s="2" t="s">
        <v>32</v>
      </c>
      <c r="N123" s="3">
        <v>0</v>
      </c>
      <c r="O123" s="2" t="s">
        <v>33</v>
      </c>
      <c r="P123" s="2" t="s">
        <v>196</v>
      </c>
      <c r="Q123" s="4">
        <v>46100</v>
      </c>
      <c r="R123" s="4">
        <v>46160</v>
      </c>
      <c r="S123" s="3">
        <v>47</v>
      </c>
      <c r="T123" s="5">
        <v>0</v>
      </c>
      <c r="U123" s="2" t="s">
        <v>58</v>
      </c>
      <c r="V123" s="5">
        <v>6593079.7400000002</v>
      </c>
      <c r="W123" s="5">
        <v>0</v>
      </c>
      <c r="X123" s="5">
        <v>152603931.18000001</v>
      </c>
    </row>
    <row r="124" spans="1:24" outlineLevel="2">
      <c r="M124" s="14" t="s">
        <v>742</v>
      </c>
      <c r="T124" s="5">
        <f>SUBTOTAL(9,T103:T123)</f>
        <v>0</v>
      </c>
      <c r="V124" s="5">
        <f>SUBTOTAL(9,V103:V123)</f>
        <v>370462891.23000002</v>
      </c>
      <c r="W124" s="5">
        <f>SUBTOTAL(9,W103:W123)</f>
        <v>152603931.18000001</v>
      </c>
    </row>
    <row r="125" spans="1:24" outlineLevel="1">
      <c r="A125" s="14" t="s">
        <v>694</v>
      </c>
      <c r="T125" s="5">
        <f>SUBTOTAL(9,T103:T123)</f>
        <v>0</v>
      </c>
      <c r="V125" s="5">
        <f>SUBTOTAL(9,V103:V123)</f>
        <v>370462891.23000002</v>
      </c>
      <c r="W125" s="5">
        <f>SUBTOTAL(9,W103:W123)</f>
        <v>152603931.18000001</v>
      </c>
    </row>
    <row r="126" spans="1:24" outlineLevel="3">
      <c r="A126" s="2" t="s">
        <v>197</v>
      </c>
      <c r="B126" s="3">
        <v>860002274</v>
      </c>
      <c r="C126" s="3">
        <v>0</v>
      </c>
      <c r="D126" s="2" t="s">
        <v>198</v>
      </c>
      <c r="E126" s="2">
        <v>2601100</v>
      </c>
      <c r="F126" s="2" t="s">
        <v>199</v>
      </c>
      <c r="G126" s="2" t="s">
        <v>38</v>
      </c>
      <c r="H126" s="2" t="s">
        <v>28</v>
      </c>
      <c r="I126" s="2" t="s">
        <v>11</v>
      </c>
      <c r="J126" s="2" t="s">
        <v>67</v>
      </c>
      <c r="K126" s="2" t="s">
        <v>47</v>
      </c>
      <c r="L126" s="2" t="s">
        <v>48</v>
      </c>
      <c r="M126" s="2" t="s">
        <v>32</v>
      </c>
      <c r="N126" s="3">
        <v>0</v>
      </c>
      <c r="O126" s="2" t="s">
        <v>33</v>
      </c>
      <c r="P126" s="2" t="s">
        <v>200</v>
      </c>
      <c r="Q126" s="4">
        <v>46083</v>
      </c>
      <c r="R126" s="4">
        <v>46144</v>
      </c>
      <c r="S126" s="3">
        <v>31</v>
      </c>
      <c r="T126" s="5">
        <v>0</v>
      </c>
      <c r="U126" s="2" t="s">
        <v>58</v>
      </c>
      <c r="V126" s="5">
        <v>3552699</v>
      </c>
      <c r="W126" s="5">
        <v>0</v>
      </c>
      <c r="X126" s="5">
        <v>0</v>
      </c>
    </row>
    <row r="127" spans="1:24" outlineLevel="2">
      <c r="M127" s="14" t="s">
        <v>742</v>
      </c>
      <c r="T127" s="5">
        <f>SUBTOTAL(9,T126:T126)</f>
        <v>0</v>
      </c>
      <c r="V127" s="5">
        <f>SUBTOTAL(9,V126:V126)</f>
        <v>3552699</v>
      </c>
      <c r="W127" s="5">
        <f>SUBTOTAL(9,W126:W126)</f>
        <v>0</v>
      </c>
    </row>
    <row r="128" spans="1:24" outlineLevel="1">
      <c r="A128" s="14" t="s">
        <v>695</v>
      </c>
      <c r="T128" s="5">
        <f>SUBTOTAL(9,T126:T126)</f>
        <v>0</v>
      </c>
      <c r="V128" s="5">
        <f>SUBTOTAL(9,V126:V126)</f>
        <v>3552699</v>
      </c>
      <c r="W128" s="5">
        <f>SUBTOTAL(9,W126:W126)</f>
        <v>0</v>
      </c>
    </row>
    <row r="129" spans="1:24" outlineLevel="3">
      <c r="A129" s="2" t="s">
        <v>201</v>
      </c>
      <c r="B129" s="3">
        <v>860031786</v>
      </c>
      <c r="C129" s="3">
        <v>0</v>
      </c>
      <c r="D129" s="2" t="s">
        <v>202</v>
      </c>
      <c r="E129" s="2">
        <v>4235000</v>
      </c>
      <c r="F129" s="2" t="s">
        <v>203</v>
      </c>
      <c r="G129" s="2" t="s">
        <v>38</v>
      </c>
      <c r="H129" s="2" t="s">
        <v>28</v>
      </c>
      <c r="I129" s="2" t="s">
        <v>11</v>
      </c>
      <c r="J129" s="2" t="s">
        <v>67</v>
      </c>
      <c r="K129" s="2" t="s">
        <v>47</v>
      </c>
      <c r="L129" s="2" t="s">
        <v>48</v>
      </c>
      <c r="M129" s="2" t="s">
        <v>32</v>
      </c>
      <c r="N129" s="3">
        <v>0</v>
      </c>
      <c r="O129" s="2" t="s">
        <v>33</v>
      </c>
      <c r="P129" s="2" t="s">
        <v>204</v>
      </c>
      <c r="Q129" s="4">
        <v>46090</v>
      </c>
      <c r="R129" s="4">
        <v>46150</v>
      </c>
      <c r="S129" s="3">
        <v>37</v>
      </c>
      <c r="T129" s="5">
        <v>0</v>
      </c>
      <c r="U129" s="2" t="s">
        <v>58</v>
      </c>
      <c r="V129" s="5">
        <v>1188059.52</v>
      </c>
      <c r="W129" s="5">
        <v>0</v>
      </c>
      <c r="X129" s="5">
        <v>0</v>
      </c>
    </row>
    <row r="130" spans="1:24" outlineLevel="3">
      <c r="A130" s="2" t="s">
        <v>201</v>
      </c>
      <c r="B130" s="3">
        <v>860031786</v>
      </c>
      <c r="C130" s="3">
        <v>0</v>
      </c>
      <c r="D130" s="2" t="s">
        <v>202</v>
      </c>
      <c r="E130" s="2">
        <v>4235000</v>
      </c>
      <c r="F130" s="2" t="s">
        <v>203</v>
      </c>
      <c r="G130" s="2" t="s">
        <v>38</v>
      </c>
      <c r="H130" s="2" t="s">
        <v>28</v>
      </c>
      <c r="I130" s="2" t="s">
        <v>11</v>
      </c>
      <c r="J130" s="2" t="s">
        <v>67</v>
      </c>
      <c r="K130" s="2" t="s">
        <v>47</v>
      </c>
      <c r="L130" s="2" t="s">
        <v>48</v>
      </c>
      <c r="M130" s="2" t="s">
        <v>32</v>
      </c>
      <c r="N130" s="3">
        <v>0</v>
      </c>
      <c r="O130" s="2" t="s">
        <v>33</v>
      </c>
      <c r="P130" s="2" t="s">
        <v>205</v>
      </c>
      <c r="Q130" s="4">
        <v>46092</v>
      </c>
      <c r="R130" s="4">
        <v>46152</v>
      </c>
      <c r="S130" s="3">
        <v>39</v>
      </c>
      <c r="T130" s="5">
        <v>0</v>
      </c>
      <c r="U130" s="2" t="s">
        <v>58</v>
      </c>
      <c r="V130" s="5">
        <v>607132.05000000005</v>
      </c>
      <c r="W130" s="5">
        <v>0</v>
      </c>
      <c r="X130" s="5">
        <v>0</v>
      </c>
    </row>
    <row r="131" spans="1:24" outlineLevel="3">
      <c r="A131" s="2" t="s">
        <v>201</v>
      </c>
      <c r="B131" s="3">
        <v>860031786</v>
      </c>
      <c r="C131" s="3">
        <v>0</v>
      </c>
      <c r="D131" s="2" t="s">
        <v>202</v>
      </c>
      <c r="E131" s="2">
        <v>4235000</v>
      </c>
      <c r="F131" s="2" t="s">
        <v>203</v>
      </c>
      <c r="G131" s="2" t="s">
        <v>38</v>
      </c>
      <c r="H131" s="2" t="s">
        <v>28</v>
      </c>
      <c r="I131" s="2" t="s">
        <v>11</v>
      </c>
      <c r="J131" s="2" t="s">
        <v>67</v>
      </c>
      <c r="K131" s="2" t="s">
        <v>47</v>
      </c>
      <c r="L131" s="2" t="s">
        <v>48</v>
      </c>
      <c r="M131" s="2" t="s">
        <v>32</v>
      </c>
      <c r="N131" s="3">
        <v>0</v>
      </c>
      <c r="O131" s="2" t="s">
        <v>33</v>
      </c>
      <c r="P131" s="2" t="s">
        <v>206</v>
      </c>
      <c r="Q131" s="4">
        <v>46093</v>
      </c>
      <c r="R131" s="4">
        <v>46153</v>
      </c>
      <c r="S131" s="3">
        <v>40</v>
      </c>
      <c r="T131" s="5">
        <v>0</v>
      </c>
      <c r="U131" s="2" t="s">
        <v>58</v>
      </c>
      <c r="V131" s="5">
        <v>14937250.59</v>
      </c>
      <c r="W131" s="5">
        <v>0</v>
      </c>
      <c r="X131" s="5">
        <v>0</v>
      </c>
    </row>
    <row r="132" spans="1:24" outlineLevel="3">
      <c r="A132" s="2" t="s">
        <v>201</v>
      </c>
      <c r="B132" s="3">
        <v>860031786</v>
      </c>
      <c r="C132" s="3">
        <v>0</v>
      </c>
      <c r="D132" s="2" t="s">
        <v>202</v>
      </c>
      <c r="E132" s="2">
        <v>4235000</v>
      </c>
      <c r="F132" s="2" t="s">
        <v>203</v>
      </c>
      <c r="G132" s="2" t="s">
        <v>38</v>
      </c>
      <c r="H132" s="2" t="s">
        <v>28</v>
      </c>
      <c r="I132" s="2" t="s">
        <v>11</v>
      </c>
      <c r="J132" s="2" t="s">
        <v>67</v>
      </c>
      <c r="K132" s="2" t="s">
        <v>47</v>
      </c>
      <c r="L132" s="2" t="s">
        <v>48</v>
      </c>
      <c r="M132" s="2" t="s">
        <v>32</v>
      </c>
      <c r="N132" s="3">
        <v>0</v>
      </c>
      <c r="O132" s="2" t="s">
        <v>33</v>
      </c>
      <c r="P132" s="2" t="s">
        <v>207</v>
      </c>
      <c r="Q132" s="4">
        <v>46097</v>
      </c>
      <c r="R132" s="4">
        <v>46157</v>
      </c>
      <c r="S132" s="3">
        <v>44</v>
      </c>
      <c r="T132" s="5">
        <v>0</v>
      </c>
      <c r="U132" s="2" t="s">
        <v>58</v>
      </c>
      <c r="V132" s="5">
        <v>552612.19999999995</v>
      </c>
      <c r="W132" s="5">
        <v>0</v>
      </c>
      <c r="X132" s="5">
        <v>0</v>
      </c>
    </row>
    <row r="133" spans="1:24" outlineLevel="3">
      <c r="A133" s="2" t="s">
        <v>201</v>
      </c>
      <c r="B133" s="3">
        <v>860031786</v>
      </c>
      <c r="C133" s="3">
        <v>0</v>
      </c>
      <c r="D133" s="2" t="s">
        <v>202</v>
      </c>
      <c r="E133" s="2">
        <v>4235000</v>
      </c>
      <c r="F133" s="2" t="s">
        <v>203</v>
      </c>
      <c r="G133" s="2" t="s">
        <v>38</v>
      </c>
      <c r="H133" s="2" t="s">
        <v>28</v>
      </c>
      <c r="I133" s="2" t="s">
        <v>11</v>
      </c>
      <c r="J133" s="2" t="s">
        <v>67</v>
      </c>
      <c r="K133" s="2" t="s">
        <v>47</v>
      </c>
      <c r="L133" s="2" t="s">
        <v>48</v>
      </c>
      <c r="M133" s="2" t="s">
        <v>32</v>
      </c>
      <c r="N133" s="3">
        <v>0</v>
      </c>
      <c r="O133" s="2" t="s">
        <v>33</v>
      </c>
      <c r="P133" s="2" t="s">
        <v>208</v>
      </c>
      <c r="Q133" s="4">
        <v>46099</v>
      </c>
      <c r="R133" s="4">
        <v>46159</v>
      </c>
      <c r="S133" s="3">
        <v>46</v>
      </c>
      <c r="T133" s="5">
        <v>0</v>
      </c>
      <c r="U133" s="2" t="s">
        <v>58</v>
      </c>
      <c r="V133" s="5">
        <v>3043252.16</v>
      </c>
      <c r="W133" s="5">
        <v>0</v>
      </c>
      <c r="X133" s="5">
        <v>0</v>
      </c>
    </row>
    <row r="134" spans="1:24" outlineLevel="3">
      <c r="A134" s="2" t="s">
        <v>201</v>
      </c>
      <c r="B134" s="3">
        <v>860031786</v>
      </c>
      <c r="C134" s="3">
        <v>0</v>
      </c>
      <c r="D134" s="2" t="s">
        <v>202</v>
      </c>
      <c r="E134" s="2">
        <v>4235000</v>
      </c>
      <c r="F134" s="2" t="s">
        <v>203</v>
      </c>
      <c r="G134" s="2" t="s">
        <v>38</v>
      </c>
      <c r="H134" s="2" t="s">
        <v>28</v>
      </c>
      <c r="I134" s="2" t="s">
        <v>11</v>
      </c>
      <c r="J134" s="2" t="s">
        <v>67</v>
      </c>
      <c r="K134" s="2" t="s">
        <v>47</v>
      </c>
      <c r="L134" s="2" t="s">
        <v>48</v>
      </c>
      <c r="M134" s="2" t="s">
        <v>32</v>
      </c>
      <c r="N134" s="3">
        <v>0</v>
      </c>
      <c r="O134" s="2" t="s">
        <v>33</v>
      </c>
      <c r="P134" s="2" t="s">
        <v>209</v>
      </c>
      <c r="Q134" s="4">
        <v>46106</v>
      </c>
      <c r="R134" s="4">
        <v>46166</v>
      </c>
      <c r="S134" s="3">
        <v>53</v>
      </c>
      <c r="T134" s="5">
        <v>0</v>
      </c>
      <c r="U134" s="2" t="s">
        <v>58</v>
      </c>
      <c r="V134" s="5">
        <v>1227755.74</v>
      </c>
      <c r="W134" s="5">
        <v>0</v>
      </c>
      <c r="X134" s="5">
        <v>0</v>
      </c>
    </row>
    <row r="135" spans="1:24" outlineLevel="2">
      <c r="M135" s="14" t="s">
        <v>742</v>
      </c>
      <c r="T135" s="5">
        <f>SUBTOTAL(9,T129:T134)</f>
        <v>0</v>
      </c>
      <c r="V135" s="5">
        <f>SUBTOTAL(9,V129:V134)</f>
        <v>21556062.259999998</v>
      </c>
      <c r="W135" s="5">
        <f>SUBTOTAL(9,W129:W134)</f>
        <v>0</v>
      </c>
    </row>
    <row r="136" spans="1:24" outlineLevel="1">
      <c r="A136" s="14" t="s">
        <v>696</v>
      </c>
      <c r="T136" s="5">
        <f>SUBTOTAL(9,T129:T134)</f>
        <v>0</v>
      </c>
      <c r="V136" s="5">
        <f>SUBTOTAL(9,V129:V134)</f>
        <v>21556062.259999998</v>
      </c>
      <c r="W136" s="5">
        <f>SUBTOTAL(9,W129:W134)</f>
        <v>0</v>
      </c>
    </row>
    <row r="137" spans="1:24" outlineLevel="3">
      <c r="A137" s="2" t="s">
        <v>210</v>
      </c>
      <c r="B137" s="3">
        <v>860049740</v>
      </c>
      <c r="C137" s="3">
        <v>0</v>
      </c>
      <c r="D137" s="2" t="s">
        <v>211</v>
      </c>
      <c r="E137" s="2">
        <v>4846890</v>
      </c>
      <c r="F137" s="2" t="s">
        <v>212</v>
      </c>
      <c r="G137" s="2" t="s">
        <v>38</v>
      </c>
      <c r="H137" s="2" t="s">
        <v>28</v>
      </c>
      <c r="I137" s="2" t="s">
        <v>11</v>
      </c>
      <c r="J137" s="2" t="s">
        <v>106</v>
      </c>
      <c r="K137" s="2" t="s">
        <v>85</v>
      </c>
      <c r="L137" s="2" t="s">
        <v>86</v>
      </c>
      <c r="M137" s="2" t="s">
        <v>32</v>
      </c>
      <c r="N137" s="3">
        <v>0</v>
      </c>
      <c r="O137" s="2" t="s">
        <v>33</v>
      </c>
      <c r="P137" s="2" t="s">
        <v>213</v>
      </c>
      <c r="Q137" s="4">
        <v>45954</v>
      </c>
      <c r="R137" s="4">
        <v>46014</v>
      </c>
      <c r="S137" s="3">
        <v>-98</v>
      </c>
      <c r="T137" s="5">
        <v>0</v>
      </c>
      <c r="U137" s="2" t="s">
        <v>20</v>
      </c>
      <c r="V137" s="5">
        <v>6354716.9400000004</v>
      </c>
      <c r="W137" s="5">
        <v>6354716.9400000004</v>
      </c>
      <c r="X137" s="5">
        <v>6354716.9400000004</v>
      </c>
    </row>
    <row r="138" spans="1:24" outlineLevel="3">
      <c r="A138" s="2" t="s">
        <v>210</v>
      </c>
      <c r="B138" s="3">
        <v>860049740</v>
      </c>
      <c r="C138" s="3">
        <v>0</v>
      </c>
      <c r="D138" s="2" t="s">
        <v>211</v>
      </c>
      <c r="E138" s="2">
        <v>4846890</v>
      </c>
      <c r="F138" s="2" t="s">
        <v>212</v>
      </c>
      <c r="G138" s="2" t="s">
        <v>38</v>
      </c>
      <c r="H138" s="2" t="s">
        <v>28</v>
      </c>
      <c r="I138" s="2" t="s">
        <v>11</v>
      </c>
      <c r="J138" s="2" t="s">
        <v>106</v>
      </c>
      <c r="K138" s="2" t="s">
        <v>85</v>
      </c>
      <c r="L138" s="2" t="s">
        <v>86</v>
      </c>
      <c r="M138" s="2" t="s">
        <v>32</v>
      </c>
      <c r="N138" s="3">
        <v>0</v>
      </c>
      <c r="O138" s="2" t="s">
        <v>33</v>
      </c>
      <c r="P138" s="2" t="s">
        <v>214</v>
      </c>
      <c r="Q138" s="4">
        <v>45965</v>
      </c>
      <c r="R138" s="4">
        <v>46025</v>
      </c>
      <c r="S138" s="3">
        <v>-88</v>
      </c>
      <c r="T138" s="5">
        <v>0</v>
      </c>
      <c r="U138" s="2" t="s">
        <v>20</v>
      </c>
      <c r="V138" s="5">
        <v>1141432.6100000001</v>
      </c>
      <c r="W138" s="5">
        <v>1141432.6100000001</v>
      </c>
      <c r="X138" s="5">
        <v>7496149.5499999998</v>
      </c>
    </row>
    <row r="139" spans="1:24" outlineLevel="3">
      <c r="A139" s="2" t="s">
        <v>210</v>
      </c>
      <c r="B139" s="3">
        <v>860049740</v>
      </c>
      <c r="C139" s="3">
        <v>0</v>
      </c>
      <c r="D139" s="2" t="s">
        <v>211</v>
      </c>
      <c r="E139" s="2">
        <v>4846890</v>
      </c>
      <c r="F139" s="2" t="s">
        <v>212</v>
      </c>
      <c r="G139" s="2" t="s">
        <v>38</v>
      </c>
      <c r="H139" s="2" t="s">
        <v>28</v>
      </c>
      <c r="I139" s="2" t="s">
        <v>11</v>
      </c>
      <c r="J139" s="2" t="s">
        <v>106</v>
      </c>
      <c r="K139" s="2" t="s">
        <v>85</v>
      </c>
      <c r="L139" s="2" t="s">
        <v>86</v>
      </c>
      <c r="M139" s="2" t="s">
        <v>32</v>
      </c>
      <c r="N139" s="3">
        <v>0</v>
      </c>
      <c r="O139" s="2" t="s">
        <v>33</v>
      </c>
      <c r="P139" s="2" t="s">
        <v>215</v>
      </c>
      <c r="Q139" s="4">
        <v>45994</v>
      </c>
      <c r="R139" s="4">
        <v>46055</v>
      </c>
      <c r="S139" s="3">
        <v>-59</v>
      </c>
      <c r="T139" s="5">
        <v>0</v>
      </c>
      <c r="U139" s="2" t="s">
        <v>20</v>
      </c>
      <c r="V139" s="5">
        <v>2400776.85</v>
      </c>
      <c r="W139" s="5">
        <v>2400776.85</v>
      </c>
      <c r="X139" s="5">
        <v>9896926.4000000004</v>
      </c>
    </row>
    <row r="140" spans="1:24" outlineLevel="3">
      <c r="A140" s="2" t="s">
        <v>210</v>
      </c>
      <c r="B140" s="3">
        <v>860049740</v>
      </c>
      <c r="C140" s="3">
        <v>0</v>
      </c>
      <c r="D140" s="2" t="s">
        <v>211</v>
      </c>
      <c r="E140" s="2">
        <v>4846890</v>
      </c>
      <c r="F140" s="2" t="s">
        <v>212</v>
      </c>
      <c r="G140" s="2" t="s">
        <v>38</v>
      </c>
      <c r="H140" s="2" t="s">
        <v>28</v>
      </c>
      <c r="I140" s="2" t="s">
        <v>11</v>
      </c>
      <c r="J140" s="2" t="s">
        <v>106</v>
      </c>
      <c r="K140" s="2" t="s">
        <v>85</v>
      </c>
      <c r="L140" s="2" t="s">
        <v>86</v>
      </c>
      <c r="M140" s="2" t="s">
        <v>32</v>
      </c>
      <c r="N140" s="3">
        <v>0</v>
      </c>
      <c r="O140" s="2" t="s">
        <v>33</v>
      </c>
      <c r="P140" s="2" t="s">
        <v>216</v>
      </c>
      <c r="Q140" s="4">
        <v>46051</v>
      </c>
      <c r="R140" s="4">
        <v>46109</v>
      </c>
      <c r="S140" s="3">
        <v>-3</v>
      </c>
      <c r="T140" s="5">
        <v>0</v>
      </c>
      <c r="U140" s="2" t="s">
        <v>20</v>
      </c>
      <c r="V140" s="5">
        <v>1078831.43</v>
      </c>
      <c r="W140" s="5">
        <v>1078831.43</v>
      </c>
      <c r="X140" s="5">
        <v>10975757.83</v>
      </c>
    </row>
    <row r="141" spans="1:24" outlineLevel="2">
      <c r="M141" s="14" t="s">
        <v>742</v>
      </c>
      <c r="T141" s="5">
        <f>SUBTOTAL(9,T137:T140)</f>
        <v>0</v>
      </c>
      <c r="V141" s="5">
        <f>SUBTOTAL(9,V137:V140)</f>
        <v>10975757.83</v>
      </c>
      <c r="W141" s="5">
        <f>SUBTOTAL(9,W137:W140)</f>
        <v>10975757.83</v>
      </c>
    </row>
    <row r="142" spans="1:24" outlineLevel="1">
      <c r="A142" s="14" t="s">
        <v>697</v>
      </c>
      <c r="T142" s="5">
        <f>SUBTOTAL(9,T137:T140)</f>
        <v>0</v>
      </c>
      <c r="V142" s="5">
        <f>SUBTOTAL(9,V137:V140)</f>
        <v>10975757.83</v>
      </c>
      <c r="W142" s="5">
        <f>SUBTOTAL(9,W137:W140)</f>
        <v>10975757.83</v>
      </c>
    </row>
    <row r="143" spans="1:24" outlineLevel="3">
      <c r="A143" s="2" t="s">
        <v>217</v>
      </c>
      <c r="B143" s="3">
        <v>860525726</v>
      </c>
      <c r="C143" s="3">
        <v>0</v>
      </c>
      <c r="D143" s="2" t="s">
        <v>218</v>
      </c>
      <c r="E143" s="2">
        <v>8931972</v>
      </c>
      <c r="F143" s="2" t="s">
        <v>219</v>
      </c>
      <c r="G143" s="2" t="s">
        <v>84</v>
      </c>
      <c r="H143" s="2" t="s">
        <v>28</v>
      </c>
      <c r="I143" s="2" t="s">
        <v>11</v>
      </c>
      <c r="J143" s="2" t="s">
        <v>93</v>
      </c>
      <c r="K143" s="2" t="s">
        <v>47</v>
      </c>
      <c r="L143" s="2" t="s">
        <v>48</v>
      </c>
      <c r="M143" s="2" t="s">
        <v>32</v>
      </c>
      <c r="N143" s="3">
        <v>0</v>
      </c>
      <c r="O143" s="2" t="s">
        <v>33</v>
      </c>
      <c r="P143" s="2" t="s">
        <v>220</v>
      </c>
      <c r="Q143" s="4">
        <v>42979</v>
      </c>
      <c r="R143" s="4">
        <v>43038</v>
      </c>
      <c r="S143" s="3">
        <v>-3031</v>
      </c>
      <c r="T143" s="5">
        <v>0</v>
      </c>
      <c r="U143" s="2" t="s">
        <v>20</v>
      </c>
      <c r="V143" s="5">
        <v>3955175</v>
      </c>
      <c r="W143" s="5">
        <v>3955175</v>
      </c>
      <c r="X143" s="5">
        <v>3955175</v>
      </c>
    </row>
    <row r="144" spans="1:24" outlineLevel="3">
      <c r="A144" s="2" t="s">
        <v>217</v>
      </c>
      <c r="B144" s="3">
        <v>860525726</v>
      </c>
      <c r="C144" s="3">
        <v>0</v>
      </c>
      <c r="D144" s="2" t="s">
        <v>218</v>
      </c>
      <c r="E144" s="2">
        <v>8931972</v>
      </c>
      <c r="F144" s="2" t="s">
        <v>219</v>
      </c>
      <c r="G144" s="2" t="s">
        <v>84</v>
      </c>
      <c r="H144" s="2" t="s">
        <v>28</v>
      </c>
      <c r="I144" s="2" t="s">
        <v>11</v>
      </c>
      <c r="J144" s="2" t="s">
        <v>93</v>
      </c>
      <c r="K144" s="2" t="s">
        <v>47</v>
      </c>
      <c r="L144" s="2" t="s">
        <v>48</v>
      </c>
      <c r="M144" s="2" t="s">
        <v>32</v>
      </c>
      <c r="N144" s="3">
        <v>0</v>
      </c>
      <c r="O144" s="2" t="s">
        <v>33</v>
      </c>
      <c r="P144" s="2" t="s">
        <v>221</v>
      </c>
      <c r="Q144" s="4">
        <v>42979</v>
      </c>
      <c r="R144" s="4">
        <v>43038</v>
      </c>
      <c r="S144" s="3">
        <v>-3031</v>
      </c>
      <c r="T144" s="5">
        <v>0</v>
      </c>
      <c r="U144" s="2" t="s">
        <v>20</v>
      </c>
      <c r="V144" s="5">
        <v>6432838.75</v>
      </c>
      <c r="W144" s="5">
        <v>6432838.75</v>
      </c>
      <c r="X144" s="5">
        <v>10388013.75</v>
      </c>
    </row>
    <row r="145" spans="1:24" outlineLevel="3">
      <c r="A145" s="2" t="s">
        <v>217</v>
      </c>
      <c r="B145" s="3">
        <v>860525726</v>
      </c>
      <c r="C145" s="3">
        <v>0</v>
      </c>
      <c r="D145" s="2" t="s">
        <v>218</v>
      </c>
      <c r="E145" s="2">
        <v>8931972</v>
      </c>
      <c r="F145" s="2" t="s">
        <v>219</v>
      </c>
      <c r="G145" s="2" t="s">
        <v>84</v>
      </c>
      <c r="H145" s="2" t="s">
        <v>28</v>
      </c>
      <c r="I145" s="2" t="s">
        <v>11</v>
      </c>
      <c r="J145" s="2" t="s">
        <v>93</v>
      </c>
      <c r="K145" s="2" t="s">
        <v>47</v>
      </c>
      <c r="L145" s="2" t="s">
        <v>48</v>
      </c>
      <c r="M145" s="2" t="s">
        <v>32</v>
      </c>
      <c r="N145" s="3">
        <v>0</v>
      </c>
      <c r="O145" s="2" t="s">
        <v>33</v>
      </c>
      <c r="P145" s="2" t="s">
        <v>222</v>
      </c>
      <c r="Q145" s="4">
        <v>43012</v>
      </c>
      <c r="R145" s="4">
        <v>43072</v>
      </c>
      <c r="S145" s="3">
        <v>-2998</v>
      </c>
      <c r="T145" s="5">
        <v>0</v>
      </c>
      <c r="U145" s="2" t="s">
        <v>20</v>
      </c>
      <c r="V145" s="5">
        <v>3646263.6</v>
      </c>
      <c r="W145" s="5">
        <v>3646263.6</v>
      </c>
      <c r="X145" s="5">
        <v>14034277.35</v>
      </c>
    </row>
    <row r="146" spans="1:24" outlineLevel="3">
      <c r="A146" s="2" t="s">
        <v>217</v>
      </c>
      <c r="B146" s="3">
        <v>860525726</v>
      </c>
      <c r="C146" s="3">
        <v>0</v>
      </c>
      <c r="D146" s="2" t="s">
        <v>218</v>
      </c>
      <c r="E146" s="2">
        <v>8931972</v>
      </c>
      <c r="F146" s="2" t="s">
        <v>219</v>
      </c>
      <c r="G146" s="2" t="s">
        <v>84</v>
      </c>
      <c r="H146" s="2" t="s">
        <v>28</v>
      </c>
      <c r="I146" s="2" t="s">
        <v>11</v>
      </c>
      <c r="J146" s="2" t="s">
        <v>93</v>
      </c>
      <c r="K146" s="2" t="s">
        <v>47</v>
      </c>
      <c r="L146" s="2" t="s">
        <v>48</v>
      </c>
      <c r="M146" s="2" t="s">
        <v>32</v>
      </c>
      <c r="N146" s="3">
        <v>0</v>
      </c>
      <c r="O146" s="2" t="s">
        <v>33</v>
      </c>
      <c r="P146" s="2" t="s">
        <v>223</v>
      </c>
      <c r="Q146" s="4">
        <v>43034</v>
      </c>
      <c r="R146" s="4">
        <v>43094</v>
      </c>
      <c r="S146" s="3">
        <v>-2976</v>
      </c>
      <c r="T146" s="5">
        <v>0</v>
      </c>
      <c r="U146" s="2" t="s">
        <v>20</v>
      </c>
      <c r="V146" s="5">
        <v>1549776.2</v>
      </c>
      <c r="W146" s="5">
        <v>1549776.2</v>
      </c>
      <c r="X146" s="5">
        <v>15584053.550000001</v>
      </c>
    </row>
    <row r="147" spans="1:24" outlineLevel="3">
      <c r="A147" s="2" t="s">
        <v>217</v>
      </c>
      <c r="B147" s="3">
        <v>860525726</v>
      </c>
      <c r="C147" s="3">
        <v>0</v>
      </c>
      <c r="D147" s="2" t="s">
        <v>218</v>
      </c>
      <c r="E147" s="2">
        <v>8931972</v>
      </c>
      <c r="F147" s="2" t="s">
        <v>219</v>
      </c>
      <c r="G147" s="2" t="s">
        <v>84</v>
      </c>
      <c r="H147" s="2" t="s">
        <v>28</v>
      </c>
      <c r="I147" s="2" t="s">
        <v>11</v>
      </c>
      <c r="J147" s="2" t="s">
        <v>93</v>
      </c>
      <c r="K147" s="2" t="s">
        <v>47</v>
      </c>
      <c r="L147" s="2" t="s">
        <v>48</v>
      </c>
      <c r="M147" s="2" t="s">
        <v>32</v>
      </c>
      <c r="N147" s="3">
        <v>0</v>
      </c>
      <c r="O147" s="2" t="s">
        <v>33</v>
      </c>
      <c r="P147" s="2" t="s">
        <v>224</v>
      </c>
      <c r="Q147" s="4">
        <v>43070</v>
      </c>
      <c r="R147" s="4">
        <v>43130</v>
      </c>
      <c r="S147" s="3">
        <v>-2941</v>
      </c>
      <c r="T147" s="5">
        <v>0</v>
      </c>
      <c r="U147" s="2" t="s">
        <v>20</v>
      </c>
      <c r="V147" s="5">
        <v>1558397.2</v>
      </c>
      <c r="W147" s="5">
        <v>1558397.2</v>
      </c>
      <c r="X147" s="5">
        <v>17142450.75</v>
      </c>
    </row>
    <row r="148" spans="1:24" outlineLevel="3">
      <c r="A148" s="2" t="s">
        <v>217</v>
      </c>
      <c r="B148" s="3">
        <v>860525726</v>
      </c>
      <c r="C148" s="3">
        <v>0</v>
      </c>
      <c r="D148" s="2" t="s">
        <v>218</v>
      </c>
      <c r="E148" s="2">
        <v>8931972</v>
      </c>
      <c r="F148" s="2" t="s">
        <v>219</v>
      </c>
      <c r="G148" s="2" t="s">
        <v>84</v>
      </c>
      <c r="H148" s="2" t="s">
        <v>28</v>
      </c>
      <c r="I148" s="2" t="s">
        <v>11</v>
      </c>
      <c r="J148" s="2" t="s">
        <v>93</v>
      </c>
      <c r="K148" s="2" t="s">
        <v>47</v>
      </c>
      <c r="L148" s="2" t="s">
        <v>48</v>
      </c>
      <c r="M148" s="2" t="s">
        <v>32</v>
      </c>
      <c r="N148" s="3">
        <v>0</v>
      </c>
      <c r="O148" s="2" t="s">
        <v>33</v>
      </c>
      <c r="P148" s="2" t="s">
        <v>225</v>
      </c>
      <c r="Q148" s="4">
        <v>43076</v>
      </c>
      <c r="R148" s="4">
        <v>43137</v>
      </c>
      <c r="S148" s="3">
        <v>-2935</v>
      </c>
      <c r="T148" s="5">
        <v>0</v>
      </c>
      <c r="U148" s="2" t="s">
        <v>20</v>
      </c>
      <c r="V148" s="5">
        <v>5785588.0499999998</v>
      </c>
      <c r="W148" s="5">
        <v>5785588.0499999998</v>
      </c>
      <c r="X148" s="5">
        <v>22928038.800000001</v>
      </c>
    </row>
    <row r="149" spans="1:24" outlineLevel="3">
      <c r="A149" s="2" t="s">
        <v>217</v>
      </c>
      <c r="B149" s="3">
        <v>860525726</v>
      </c>
      <c r="C149" s="3">
        <v>0</v>
      </c>
      <c r="D149" s="2" t="s">
        <v>218</v>
      </c>
      <c r="E149" s="2">
        <v>8931972</v>
      </c>
      <c r="F149" s="2" t="s">
        <v>219</v>
      </c>
      <c r="G149" s="2" t="s">
        <v>84</v>
      </c>
      <c r="H149" s="2" t="s">
        <v>28</v>
      </c>
      <c r="I149" s="2" t="s">
        <v>11</v>
      </c>
      <c r="J149" s="2" t="s">
        <v>93</v>
      </c>
      <c r="K149" s="2" t="s">
        <v>47</v>
      </c>
      <c r="L149" s="2" t="s">
        <v>48</v>
      </c>
      <c r="M149" s="2" t="s">
        <v>32</v>
      </c>
      <c r="N149" s="3">
        <v>0</v>
      </c>
      <c r="O149" s="2" t="s">
        <v>33</v>
      </c>
      <c r="P149" s="2" t="s">
        <v>226</v>
      </c>
      <c r="Q149" s="4">
        <v>43088</v>
      </c>
      <c r="R149" s="4">
        <v>43149</v>
      </c>
      <c r="S149" s="3">
        <v>-2923</v>
      </c>
      <c r="T149" s="5">
        <v>0</v>
      </c>
      <c r="U149" s="2" t="s">
        <v>20</v>
      </c>
      <c r="V149" s="5">
        <v>4806755.05</v>
      </c>
      <c r="W149" s="5">
        <v>4806755.05</v>
      </c>
      <c r="X149" s="5">
        <v>27734793.850000001</v>
      </c>
    </row>
    <row r="150" spans="1:24" outlineLevel="3">
      <c r="A150" s="2" t="s">
        <v>217</v>
      </c>
      <c r="B150" s="3">
        <v>860525726</v>
      </c>
      <c r="C150" s="3">
        <v>0</v>
      </c>
      <c r="D150" s="2" t="s">
        <v>218</v>
      </c>
      <c r="E150" s="2">
        <v>8931972</v>
      </c>
      <c r="F150" s="2" t="s">
        <v>219</v>
      </c>
      <c r="G150" s="2" t="s">
        <v>84</v>
      </c>
      <c r="H150" s="2" t="s">
        <v>28</v>
      </c>
      <c r="I150" s="2" t="s">
        <v>11</v>
      </c>
      <c r="J150" s="2" t="s">
        <v>59</v>
      </c>
      <c r="K150" s="2" t="s">
        <v>47</v>
      </c>
      <c r="L150" s="2" t="s">
        <v>48</v>
      </c>
      <c r="M150" s="2" t="s">
        <v>32</v>
      </c>
      <c r="N150" s="3">
        <v>0</v>
      </c>
      <c r="O150" s="2" t="s">
        <v>33</v>
      </c>
      <c r="P150" s="2" t="s">
        <v>227</v>
      </c>
      <c r="Q150" s="4">
        <v>44547</v>
      </c>
      <c r="R150" s="4">
        <v>44608</v>
      </c>
      <c r="S150" s="3">
        <v>-1485</v>
      </c>
      <c r="T150" s="5">
        <v>0</v>
      </c>
      <c r="U150" s="2" t="s">
        <v>20</v>
      </c>
      <c r="V150" s="5">
        <v>2848210</v>
      </c>
      <c r="W150" s="5">
        <v>2848210</v>
      </c>
      <c r="X150" s="5">
        <v>30583003.850000001</v>
      </c>
    </row>
    <row r="151" spans="1:24" outlineLevel="3">
      <c r="A151" s="2" t="s">
        <v>217</v>
      </c>
      <c r="B151" s="3">
        <v>860525726</v>
      </c>
      <c r="C151" s="3">
        <v>0</v>
      </c>
      <c r="D151" s="2" t="s">
        <v>218</v>
      </c>
      <c r="E151" s="2">
        <v>8931972</v>
      </c>
      <c r="F151" s="2" t="s">
        <v>219</v>
      </c>
      <c r="G151" s="2" t="s">
        <v>84</v>
      </c>
      <c r="H151" s="2" t="s">
        <v>28</v>
      </c>
      <c r="I151" s="2" t="s">
        <v>11</v>
      </c>
      <c r="J151" s="2" t="s">
        <v>228</v>
      </c>
      <c r="K151" s="2" t="s">
        <v>47</v>
      </c>
      <c r="L151" s="2" t="s">
        <v>48</v>
      </c>
      <c r="M151" s="2" t="s">
        <v>32</v>
      </c>
      <c r="N151" s="3">
        <v>0</v>
      </c>
      <c r="O151" s="2" t="s">
        <v>33</v>
      </c>
      <c r="P151" s="2" t="s">
        <v>229</v>
      </c>
      <c r="Q151" s="4">
        <v>44553</v>
      </c>
      <c r="R151" s="4">
        <v>44614</v>
      </c>
      <c r="S151" s="3">
        <v>-1479</v>
      </c>
      <c r="T151" s="5">
        <v>0</v>
      </c>
      <c r="U151" s="2" t="s">
        <v>20</v>
      </c>
      <c r="V151" s="5">
        <v>468860</v>
      </c>
      <c r="W151" s="5">
        <v>468860</v>
      </c>
      <c r="X151" s="5">
        <v>31051863.850000001</v>
      </c>
    </row>
    <row r="152" spans="1:24" outlineLevel="2">
      <c r="M152" s="14" t="s">
        <v>742</v>
      </c>
      <c r="T152" s="5">
        <f>SUBTOTAL(9,T143:T151)</f>
        <v>0</v>
      </c>
      <c r="V152" s="5">
        <f>SUBTOTAL(9,V143:V151)</f>
        <v>31051863.850000001</v>
      </c>
      <c r="W152" s="5">
        <f>SUBTOTAL(9,W143:W151)</f>
        <v>31051863.850000001</v>
      </c>
    </row>
    <row r="153" spans="1:24" outlineLevel="1">
      <c r="A153" s="14" t="s">
        <v>698</v>
      </c>
      <c r="T153" s="5">
        <f>SUBTOTAL(9,T143:T151)</f>
        <v>0</v>
      </c>
      <c r="V153" s="5">
        <f>SUBTOTAL(9,V143:V151)</f>
        <v>31051863.850000001</v>
      </c>
      <c r="W153" s="5">
        <f>SUBTOTAL(9,W143:W151)</f>
        <v>31051863.850000001</v>
      </c>
    </row>
    <row r="154" spans="1:24" outlineLevel="3">
      <c r="A154" s="2" t="s">
        <v>230</v>
      </c>
      <c r="B154" s="3">
        <v>890923922</v>
      </c>
      <c r="C154" s="3">
        <v>0</v>
      </c>
      <c r="D154" s="2" t="s">
        <v>231</v>
      </c>
      <c r="E154" s="2">
        <v>4480545</v>
      </c>
      <c r="F154" s="2" t="s">
        <v>232</v>
      </c>
      <c r="G154" s="2" t="s">
        <v>233</v>
      </c>
      <c r="H154" s="2" t="s">
        <v>28</v>
      </c>
      <c r="I154" s="2" t="s">
        <v>11</v>
      </c>
      <c r="J154" s="2" t="s">
        <v>59</v>
      </c>
      <c r="K154" s="2" t="s">
        <v>85</v>
      </c>
      <c r="L154" s="2" t="s">
        <v>86</v>
      </c>
      <c r="M154" s="2" t="s">
        <v>32</v>
      </c>
      <c r="N154" s="3">
        <v>0</v>
      </c>
      <c r="O154" s="2" t="s">
        <v>33</v>
      </c>
      <c r="P154" s="2" t="s">
        <v>234</v>
      </c>
      <c r="Q154" s="4">
        <v>45992</v>
      </c>
      <c r="R154" s="4">
        <v>45992</v>
      </c>
      <c r="S154" s="3">
        <v>-120</v>
      </c>
      <c r="T154" s="5">
        <v>0</v>
      </c>
      <c r="U154" s="2" t="s">
        <v>20</v>
      </c>
      <c r="V154" s="5">
        <v>-32542.62</v>
      </c>
      <c r="W154" s="5">
        <v>-32542.62</v>
      </c>
      <c r="X154" s="5">
        <v>-32542.62</v>
      </c>
    </row>
    <row r="155" spans="1:24" outlineLevel="3">
      <c r="A155" s="2" t="s">
        <v>230</v>
      </c>
      <c r="B155" s="3">
        <v>890923922</v>
      </c>
      <c r="C155" s="3">
        <v>0</v>
      </c>
      <c r="D155" s="2" t="s">
        <v>231</v>
      </c>
      <c r="E155" s="2">
        <v>4480545</v>
      </c>
      <c r="F155" s="2" t="s">
        <v>232</v>
      </c>
      <c r="G155" s="2" t="s">
        <v>233</v>
      </c>
      <c r="H155" s="2" t="s">
        <v>28</v>
      </c>
      <c r="I155" s="2" t="s">
        <v>11</v>
      </c>
      <c r="J155" s="2" t="s">
        <v>106</v>
      </c>
      <c r="K155" s="2" t="s">
        <v>85</v>
      </c>
      <c r="L155" s="2" t="s">
        <v>86</v>
      </c>
      <c r="M155" s="2" t="s">
        <v>32</v>
      </c>
      <c r="N155" s="3">
        <v>0</v>
      </c>
      <c r="O155" s="2" t="s">
        <v>33</v>
      </c>
      <c r="P155" s="2" t="s">
        <v>235</v>
      </c>
      <c r="Q155" s="4">
        <v>46055</v>
      </c>
      <c r="R155" s="4">
        <v>46113</v>
      </c>
      <c r="S155" s="3">
        <v>0</v>
      </c>
      <c r="T155" s="5">
        <v>0</v>
      </c>
      <c r="U155" s="2" t="s">
        <v>20</v>
      </c>
      <c r="V155" s="5">
        <v>4497215.71</v>
      </c>
      <c r="W155" s="5">
        <v>0</v>
      </c>
      <c r="X155" s="5">
        <v>-32542.62</v>
      </c>
    </row>
    <row r="156" spans="1:24" outlineLevel="3">
      <c r="A156" s="2" t="s">
        <v>230</v>
      </c>
      <c r="B156" s="3">
        <v>890923922</v>
      </c>
      <c r="C156" s="3">
        <v>0</v>
      </c>
      <c r="D156" s="2" t="s">
        <v>231</v>
      </c>
      <c r="E156" s="2">
        <v>4480545</v>
      </c>
      <c r="F156" s="2" t="s">
        <v>232</v>
      </c>
      <c r="G156" s="2" t="s">
        <v>233</v>
      </c>
      <c r="H156" s="2" t="s">
        <v>28</v>
      </c>
      <c r="I156" s="2" t="s">
        <v>11</v>
      </c>
      <c r="J156" s="2" t="s">
        <v>106</v>
      </c>
      <c r="K156" s="2" t="s">
        <v>85</v>
      </c>
      <c r="L156" s="2" t="s">
        <v>86</v>
      </c>
      <c r="M156" s="2" t="s">
        <v>32</v>
      </c>
      <c r="N156" s="3">
        <v>0</v>
      </c>
      <c r="O156" s="2" t="s">
        <v>33</v>
      </c>
      <c r="P156" s="2" t="s">
        <v>236</v>
      </c>
      <c r="Q156" s="4">
        <v>46055</v>
      </c>
      <c r="R156" s="4">
        <v>46113</v>
      </c>
      <c r="S156" s="3">
        <v>0</v>
      </c>
      <c r="T156" s="5">
        <v>0</v>
      </c>
      <c r="U156" s="2" t="s">
        <v>20</v>
      </c>
      <c r="V156" s="5">
        <v>873388.85</v>
      </c>
      <c r="W156" s="5">
        <v>0</v>
      </c>
      <c r="X156" s="5">
        <v>-32542.62</v>
      </c>
    </row>
    <row r="157" spans="1:24" outlineLevel="3">
      <c r="A157" s="2" t="s">
        <v>230</v>
      </c>
      <c r="B157" s="3">
        <v>890923922</v>
      </c>
      <c r="C157" s="3">
        <v>0</v>
      </c>
      <c r="D157" s="2" t="s">
        <v>231</v>
      </c>
      <c r="E157" s="2">
        <v>4480545</v>
      </c>
      <c r="F157" s="2" t="s">
        <v>232</v>
      </c>
      <c r="G157" s="2" t="s">
        <v>233</v>
      </c>
      <c r="H157" s="2" t="s">
        <v>28</v>
      </c>
      <c r="I157" s="2" t="s">
        <v>11</v>
      </c>
      <c r="J157" s="2" t="s">
        <v>106</v>
      </c>
      <c r="K157" s="2" t="s">
        <v>85</v>
      </c>
      <c r="L157" s="2" t="s">
        <v>86</v>
      </c>
      <c r="M157" s="2" t="s">
        <v>32</v>
      </c>
      <c r="N157" s="3">
        <v>0</v>
      </c>
      <c r="O157" s="2" t="s">
        <v>33</v>
      </c>
      <c r="P157" s="2" t="s">
        <v>237</v>
      </c>
      <c r="Q157" s="4">
        <v>46085</v>
      </c>
      <c r="R157" s="4">
        <v>46145</v>
      </c>
      <c r="S157" s="3">
        <v>32</v>
      </c>
      <c r="T157" s="5">
        <v>0</v>
      </c>
      <c r="U157" s="2" t="s">
        <v>58</v>
      </c>
      <c r="V157" s="5">
        <v>2352366.83</v>
      </c>
      <c r="W157" s="5">
        <v>0</v>
      </c>
      <c r="X157" s="5">
        <v>-32542.62</v>
      </c>
    </row>
    <row r="158" spans="1:24" outlineLevel="3">
      <c r="A158" s="2" t="s">
        <v>230</v>
      </c>
      <c r="B158" s="3">
        <v>890923922</v>
      </c>
      <c r="C158" s="3">
        <v>0</v>
      </c>
      <c r="D158" s="2" t="s">
        <v>231</v>
      </c>
      <c r="E158" s="2">
        <v>4480545</v>
      </c>
      <c r="F158" s="2" t="s">
        <v>232</v>
      </c>
      <c r="G158" s="2" t="s">
        <v>233</v>
      </c>
      <c r="H158" s="2" t="s">
        <v>28</v>
      </c>
      <c r="I158" s="2" t="s">
        <v>11</v>
      </c>
      <c r="J158" s="2" t="s">
        <v>106</v>
      </c>
      <c r="K158" s="2" t="s">
        <v>85</v>
      </c>
      <c r="L158" s="2" t="s">
        <v>86</v>
      </c>
      <c r="M158" s="2" t="s">
        <v>32</v>
      </c>
      <c r="N158" s="3">
        <v>0</v>
      </c>
      <c r="O158" s="2" t="s">
        <v>33</v>
      </c>
      <c r="P158" s="2" t="s">
        <v>238</v>
      </c>
      <c r="Q158" s="4">
        <v>46105</v>
      </c>
      <c r="R158" s="4">
        <v>46165</v>
      </c>
      <c r="S158" s="3">
        <v>52</v>
      </c>
      <c r="T158" s="5">
        <v>0</v>
      </c>
      <c r="U158" s="2" t="s">
        <v>58</v>
      </c>
      <c r="V158" s="5">
        <v>626909.80000000005</v>
      </c>
      <c r="W158" s="5">
        <v>0</v>
      </c>
      <c r="X158" s="5">
        <v>-32542.62</v>
      </c>
    </row>
    <row r="159" spans="1:24" outlineLevel="2">
      <c r="M159" s="14" t="s">
        <v>742</v>
      </c>
      <c r="T159" s="5">
        <f>SUBTOTAL(9,T154:T158)</f>
        <v>0</v>
      </c>
      <c r="V159" s="5">
        <f>SUBTOTAL(9,V154:V158)</f>
        <v>8317338.5699999994</v>
      </c>
      <c r="W159" s="5">
        <f>SUBTOTAL(9,W154:W158)</f>
        <v>-32542.62</v>
      </c>
    </row>
    <row r="160" spans="1:24" outlineLevel="1">
      <c r="A160" s="14" t="s">
        <v>699</v>
      </c>
      <c r="T160" s="5">
        <f>SUBTOTAL(9,T154:T158)</f>
        <v>0</v>
      </c>
      <c r="V160" s="5">
        <f>SUBTOTAL(9,V154:V158)</f>
        <v>8317338.5699999994</v>
      </c>
      <c r="W160" s="5">
        <f>SUBTOTAL(9,W154:W158)</f>
        <v>-32542.62</v>
      </c>
    </row>
    <row r="161" spans="1:24" outlineLevel="3">
      <c r="A161" s="2" t="s">
        <v>239</v>
      </c>
      <c r="B161" s="3">
        <v>900013415</v>
      </c>
      <c r="C161" s="3">
        <v>0</v>
      </c>
      <c r="D161" s="2" t="s">
        <v>240</v>
      </c>
      <c r="E161" s="2">
        <v>5873551</v>
      </c>
      <c r="F161" s="2" t="s">
        <v>241</v>
      </c>
      <c r="G161" s="2" t="s">
        <v>242</v>
      </c>
      <c r="H161" s="2" t="s">
        <v>28</v>
      </c>
      <c r="I161" s="2" t="s">
        <v>11</v>
      </c>
      <c r="J161" s="2" t="s">
        <v>59</v>
      </c>
      <c r="K161" s="2" t="s">
        <v>55</v>
      </c>
      <c r="L161" s="2" t="s">
        <v>56</v>
      </c>
      <c r="M161" s="2" t="s">
        <v>32</v>
      </c>
      <c r="N161" s="3">
        <v>0</v>
      </c>
      <c r="O161" s="2" t="s">
        <v>33</v>
      </c>
      <c r="P161" s="2" t="s">
        <v>243</v>
      </c>
      <c r="Q161" s="4">
        <v>46106</v>
      </c>
      <c r="R161" s="4">
        <v>46106</v>
      </c>
      <c r="S161" s="3">
        <v>-6</v>
      </c>
      <c r="T161" s="5">
        <v>0</v>
      </c>
      <c r="U161" s="2" t="s">
        <v>20</v>
      </c>
      <c r="V161" s="5">
        <v>-3814702.4</v>
      </c>
      <c r="W161" s="5">
        <v>-3814702.4</v>
      </c>
      <c r="X161" s="5">
        <v>-3814702.4</v>
      </c>
    </row>
    <row r="162" spans="1:24" outlineLevel="2">
      <c r="M162" s="14" t="s">
        <v>742</v>
      </c>
      <c r="T162" s="5">
        <f>SUBTOTAL(9,T161:T161)</f>
        <v>0</v>
      </c>
      <c r="V162" s="5">
        <f>SUBTOTAL(9,V161:V161)</f>
        <v>-3814702.4</v>
      </c>
      <c r="W162" s="5">
        <f>SUBTOTAL(9,W161:W161)</f>
        <v>-3814702.4</v>
      </c>
    </row>
    <row r="163" spans="1:24" outlineLevel="1">
      <c r="A163" s="14" t="s">
        <v>700</v>
      </c>
      <c r="T163" s="5">
        <f>SUBTOTAL(9,T161:T161)</f>
        <v>0</v>
      </c>
      <c r="V163" s="5">
        <f>SUBTOTAL(9,V161:V161)</f>
        <v>-3814702.4</v>
      </c>
      <c r="W163" s="5">
        <f>SUBTOTAL(9,W161:W161)</f>
        <v>-3814702.4</v>
      </c>
    </row>
    <row r="164" spans="1:24" outlineLevel="3">
      <c r="A164" s="2" t="s">
        <v>244</v>
      </c>
      <c r="B164" s="3">
        <v>900015899</v>
      </c>
      <c r="C164" s="3">
        <v>0</v>
      </c>
      <c r="D164" s="2" t="s">
        <v>245</v>
      </c>
      <c r="E164" s="2">
        <v>4442870</v>
      </c>
      <c r="F164" s="2" t="s">
        <v>246</v>
      </c>
      <c r="G164" s="2" t="s">
        <v>247</v>
      </c>
      <c r="H164" s="2" t="s">
        <v>28</v>
      </c>
      <c r="I164" s="2" t="s">
        <v>11</v>
      </c>
      <c r="J164" s="2" t="s">
        <v>67</v>
      </c>
      <c r="K164" s="2" t="s">
        <v>47</v>
      </c>
      <c r="L164" s="2" t="s">
        <v>48</v>
      </c>
      <c r="M164" s="2" t="s">
        <v>32</v>
      </c>
      <c r="N164" s="3">
        <v>0</v>
      </c>
      <c r="O164" s="2" t="s">
        <v>33</v>
      </c>
      <c r="P164" s="2" t="s">
        <v>248</v>
      </c>
      <c r="Q164" s="4">
        <v>46084</v>
      </c>
      <c r="R164" s="4">
        <v>46144</v>
      </c>
      <c r="S164" s="3">
        <v>31</v>
      </c>
      <c r="T164" s="5">
        <v>0</v>
      </c>
      <c r="U164" s="2" t="s">
        <v>58</v>
      </c>
      <c r="V164" s="5">
        <v>1525713.12</v>
      </c>
      <c r="W164" s="5">
        <v>0</v>
      </c>
      <c r="X164" s="5">
        <v>0</v>
      </c>
    </row>
    <row r="165" spans="1:24" outlineLevel="3">
      <c r="A165" s="2" t="s">
        <v>244</v>
      </c>
      <c r="B165" s="3">
        <v>900015899</v>
      </c>
      <c r="C165" s="3">
        <v>0</v>
      </c>
      <c r="D165" s="2" t="s">
        <v>245</v>
      </c>
      <c r="E165" s="2">
        <v>4442870</v>
      </c>
      <c r="F165" s="2" t="s">
        <v>246</v>
      </c>
      <c r="G165" s="2" t="s">
        <v>247</v>
      </c>
      <c r="H165" s="2" t="s">
        <v>28</v>
      </c>
      <c r="I165" s="2" t="s">
        <v>11</v>
      </c>
      <c r="J165" s="2" t="s">
        <v>106</v>
      </c>
      <c r="K165" s="2" t="s">
        <v>47</v>
      </c>
      <c r="L165" s="2" t="s">
        <v>48</v>
      </c>
      <c r="M165" s="2" t="s">
        <v>32</v>
      </c>
      <c r="N165" s="3">
        <v>0</v>
      </c>
      <c r="O165" s="2" t="s">
        <v>33</v>
      </c>
      <c r="P165" s="2" t="s">
        <v>249</v>
      </c>
      <c r="Q165" s="4">
        <v>46100</v>
      </c>
      <c r="R165" s="4">
        <v>46160</v>
      </c>
      <c r="S165" s="3">
        <v>47</v>
      </c>
      <c r="T165" s="5">
        <v>0</v>
      </c>
      <c r="U165" s="2" t="s">
        <v>58</v>
      </c>
      <c r="V165" s="5">
        <v>612707.19999999995</v>
      </c>
      <c r="W165" s="5">
        <v>0</v>
      </c>
      <c r="X165" s="5">
        <v>0</v>
      </c>
    </row>
    <row r="166" spans="1:24" outlineLevel="3">
      <c r="A166" s="2" t="s">
        <v>244</v>
      </c>
      <c r="B166" s="3">
        <v>900015899</v>
      </c>
      <c r="C166" s="3">
        <v>0</v>
      </c>
      <c r="D166" s="2" t="s">
        <v>245</v>
      </c>
      <c r="E166" s="2">
        <v>4442870</v>
      </c>
      <c r="F166" s="2" t="s">
        <v>246</v>
      </c>
      <c r="G166" s="2" t="s">
        <v>247</v>
      </c>
      <c r="H166" s="2" t="s">
        <v>28</v>
      </c>
      <c r="I166" s="2" t="s">
        <v>11</v>
      </c>
      <c r="J166" s="2" t="s">
        <v>67</v>
      </c>
      <c r="K166" s="2" t="s">
        <v>47</v>
      </c>
      <c r="L166" s="2" t="s">
        <v>48</v>
      </c>
      <c r="M166" s="2" t="s">
        <v>32</v>
      </c>
      <c r="N166" s="3">
        <v>0</v>
      </c>
      <c r="O166" s="2" t="s">
        <v>33</v>
      </c>
      <c r="P166" s="2" t="s">
        <v>250</v>
      </c>
      <c r="Q166" s="4">
        <v>46108</v>
      </c>
      <c r="R166" s="4">
        <v>46168</v>
      </c>
      <c r="S166" s="3">
        <v>55</v>
      </c>
      <c r="T166" s="5">
        <v>0</v>
      </c>
      <c r="U166" s="2" t="s">
        <v>58</v>
      </c>
      <c r="V166" s="5">
        <v>612124.1</v>
      </c>
      <c r="W166" s="5">
        <v>0</v>
      </c>
      <c r="X166" s="5">
        <v>0</v>
      </c>
    </row>
    <row r="167" spans="1:24" outlineLevel="2">
      <c r="M167" s="14" t="s">
        <v>742</v>
      </c>
      <c r="T167" s="5">
        <f>SUBTOTAL(9,T164:T166)</f>
        <v>0</v>
      </c>
      <c r="V167" s="5">
        <f>SUBTOTAL(9,V164:V166)</f>
        <v>2750544.4200000004</v>
      </c>
      <c r="W167" s="5">
        <f>SUBTOTAL(9,W164:W166)</f>
        <v>0</v>
      </c>
    </row>
    <row r="168" spans="1:24" outlineLevel="1">
      <c r="A168" s="14" t="s">
        <v>701</v>
      </c>
      <c r="T168" s="5">
        <f>SUBTOTAL(9,T164:T166)</f>
        <v>0</v>
      </c>
      <c r="V168" s="5">
        <f>SUBTOTAL(9,V164:V166)</f>
        <v>2750544.4200000004</v>
      </c>
      <c r="W168" s="5">
        <f>SUBTOTAL(9,W164:W166)</f>
        <v>0</v>
      </c>
    </row>
    <row r="169" spans="1:24" outlineLevel="3">
      <c r="A169" s="2" t="s">
        <v>251</v>
      </c>
      <c r="B169" s="3">
        <v>900073226</v>
      </c>
      <c r="C169" s="3">
        <v>0</v>
      </c>
      <c r="D169" s="2" t="s">
        <v>252</v>
      </c>
      <c r="E169" s="2">
        <v>3447751</v>
      </c>
      <c r="F169" s="2" t="s">
        <v>253</v>
      </c>
      <c r="G169" s="2" t="s">
        <v>254</v>
      </c>
      <c r="H169" s="2" t="s">
        <v>28</v>
      </c>
      <c r="I169" s="2" t="s">
        <v>11</v>
      </c>
      <c r="J169" s="2" t="s">
        <v>255</v>
      </c>
      <c r="K169" s="2" t="s">
        <v>256</v>
      </c>
      <c r="L169" s="2" t="s">
        <v>257</v>
      </c>
      <c r="M169" s="2" t="s">
        <v>32</v>
      </c>
      <c r="N169" s="3">
        <v>0</v>
      </c>
      <c r="O169" s="2" t="s">
        <v>33</v>
      </c>
      <c r="P169" s="2" t="s">
        <v>258</v>
      </c>
      <c r="Q169" s="4">
        <v>43892</v>
      </c>
      <c r="R169" s="4">
        <v>43952</v>
      </c>
      <c r="S169" s="3">
        <v>-2130</v>
      </c>
      <c r="T169" s="5">
        <v>0</v>
      </c>
      <c r="U169" s="2" t="s">
        <v>20</v>
      </c>
      <c r="V169" s="5">
        <v>3217500</v>
      </c>
      <c r="W169" s="5">
        <v>3217500</v>
      </c>
      <c r="X169" s="5">
        <v>3217500</v>
      </c>
    </row>
    <row r="170" spans="1:24" outlineLevel="2">
      <c r="M170" s="14" t="s">
        <v>742</v>
      </c>
      <c r="T170" s="5">
        <f>SUBTOTAL(9,T169:T169)</f>
        <v>0</v>
      </c>
      <c r="V170" s="5">
        <f>SUBTOTAL(9,V169:V169)</f>
        <v>3217500</v>
      </c>
      <c r="W170" s="5">
        <f>SUBTOTAL(9,W169:W169)</f>
        <v>3217500</v>
      </c>
    </row>
    <row r="171" spans="1:24" outlineLevel="1">
      <c r="A171" s="14" t="s">
        <v>702</v>
      </c>
      <c r="T171" s="5">
        <f>SUBTOTAL(9,T169:T169)</f>
        <v>0</v>
      </c>
      <c r="V171" s="5">
        <f>SUBTOTAL(9,V169:V169)</f>
        <v>3217500</v>
      </c>
      <c r="W171" s="5">
        <f>SUBTOTAL(9,W169:W169)</f>
        <v>3217500</v>
      </c>
    </row>
    <row r="172" spans="1:24" outlineLevel="3">
      <c r="A172" s="2" t="s">
        <v>259</v>
      </c>
      <c r="B172" s="3">
        <v>900117244</v>
      </c>
      <c r="C172" s="3">
        <v>0</v>
      </c>
      <c r="D172" s="2" t="s">
        <v>260</v>
      </c>
      <c r="E172" s="2">
        <v>3175008898</v>
      </c>
      <c r="F172" s="2" t="s">
        <v>261</v>
      </c>
      <c r="G172" s="2" t="s">
        <v>38</v>
      </c>
      <c r="H172" s="2" t="s">
        <v>28</v>
      </c>
      <c r="I172" s="2" t="s">
        <v>11</v>
      </c>
      <c r="J172" s="2" t="s">
        <v>59</v>
      </c>
      <c r="K172" s="2" t="s">
        <v>55</v>
      </c>
      <c r="L172" s="2" t="s">
        <v>56</v>
      </c>
      <c r="M172" s="2" t="s">
        <v>32</v>
      </c>
      <c r="N172" s="3">
        <v>0</v>
      </c>
      <c r="O172" s="2" t="s">
        <v>33</v>
      </c>
      <c r="P172" s="2" t="s">
        <v>262</v>
      </c>
      <c r="Q172" s="4">
        <v>45167</v>
      </c>
      <c r="R172" s="4">
        <v>45198</v>
      </c>
      <c r="S172" s="3">
        <v>-902</v>
      </c>
      <c r="T172" s="5">
        <v>0</v>
      </c>
      <c r="U172" s="2" t="s">
        <v>20</v>
      </c>
      <c r="V172" s="5">
        <v>70094525.569999993</v>
      </c>
      <c r="W172" s="5">
        <v>70094525.569999993</v>
      </c>
      <c r="X172" s="5">
        <v>70094525.569999993</v>
      </c>
    </row>
    <row r="173" spans="1:24" outlineLevel="3">
      <c r="A173" s="2" t="s">
        <v>259</v>
      </c>
      <c r="B173" s="3">
        <v>900117244</v>
      </c>
      <c r="C173" s="3">
        <v>0</v>
      </c>
      <c r="D173" s="2" t="s">
        <v>260</v>
      </c>
      <c r="E173" s="2">
        <v>3175008898</v>
      </c>
      <c r="F173" s="2" t="s">
        <v>261</v>
      </c>
      <c r="G173" s="2" t="s">
        <v>38</v>
      </c>
      <c r="H173" s="2" t="s">
        <v>28</v>
      </c>
      <c r="I173" s="2" t="s">
        <v>11</v>
      </c>
      <c r="J173" s="2" t="s">
        <v>59</v>
      </c>
      <c r="K173" s="2" t="s">
        <v>55</v>
      </c>
      <c r="L173" s="2" t="s">
        <v>56</v>
      </c>
      <c r="M173" s="2" t="s">
        <v>32</v>
      </c>
      <c r="N173" s="3">
        <v>0</v>
      </c>
      <c r="O173" s="2" t="s">
        <v>33</v>
      </c>
      <c r="P173" s="2" t="s">
        <v>263</v>
      </c>
      <c r="Q173" s="4">
        <v>45336</v>
      </c>
      <c r="R173" s="4">
        <v>45336</v>
      </c>
      <c r="S173" s="3">
        <v>-767</v>
      </c>
      <c r="T173" s="5">
        <v>0</v>
      </c>
      <c r="U173" s="2" t="s">
        <v>20</v>
      </c>
      <c r="V173" s="5">
        <v>-1755847.34</v>
      </c>
      <c r="W173" s="5">
        <v>-1755847.34</v>
      </c>
      <c r="X173" s="5">
        <v>68338678.230000004</v>
      </c>
    </row>
    <row r="174" spans="1:24" outlineLevel="2">
      <c r="M174" s="14" t="s">
        <v>742</v>
      </c>
      <c r="T174" s="5">
        <f>SUBTOTAL(9,T172:T173)</f>
        <v>0</v>
      </c>
      <c r="V174" s="5">
        <f>SUBTOTAL(9,V172:V173)</f>
        <v>68338678.229999989</v>
      </c>
      <c r="W174" s="5">
        <f>SUBTOTAL(9,W172:W173)</f>
        <v>68338678.229999989</v>
      </c>
    </row>
    <row r="175" spans="1:24" outlineLevel="1">
      <c r="A175" s="14" t="s">
        <v>703</v>
      </c>
      <c r="T175" s="5">
        <f>SUBTOTAL(9,T172:T173)</f>
        <v>0</v>
      </c>
      <c r="V175" s="5">
        <f>SUBTOTAL(9,V172:V173)</f>
        <v>68338678.229999989</v>
      </c>
      <c r="W175" s="5">
        <f>SUBTOTAL(9,W172:W173)</f>
        <v>68338678.229999989</v>
      </c>
    </row>
    <row r="176" spans="1:24" outlineLevel="3">
      <c r="A176" s="2" t="s">
        <v>264</v>
      </c>
      <c r="B176" s="3">
        <v>900142501</v>
      </c>
      <c r="C176" s="3">
        <v>0</v>
      </c>
      <c r="D176" s="2" t="s">
        <v>265</v>
      </c>
      <c r="E176" s="2">
        <v>3781917</v>
      </c>
      <c r="F176" s="2" t="s">
        <v>266</v>
      </c>
      <c r="G176" s="2" t="s">
        <v>267</v>
      </c>
      <c r="H176" s="2" t="s">
        <v>28</v>
      </c>
      <c r="I176" s="2" t="s">
        <v>11</v>
      </c>
      <c r="J176" s="2" t="s">
        <v>268</v>
      </c>
      <c r="K176" s="2" t="s">
        <v>269</v>
      </c>
      <c r="L176" s="2" t="s">
        <v>270</v>
      </c>
      <c r="M176" s="2" t="s">
        <v>32</v>
      </c>
      <c r="N176" s="3">
        <v>0</v>
      </c>
      <c r="O176" s="2" t="s">
        <v>33</v>
      </c>
      <c r="P176" s="2" t="s">
        <v>271</v>
      </c>
      <c r="Q176" s="4">
        <v>45971</v>
      </c>
      <c r="R176" s="4">
        <v>45971</v>
      </c>
      <c r="S176" s="3">
        <v>-141</v>
      </c>
      <c r="T176" s="5">
        <v>0</v>
      </c>
      <c r="U176" s="2" t="s">
        <v>20</v>
      </c>
      <c r="V176" s="5">
        <v>119794.57</v>
      </c>
      <c r="W176" s="5">
        <v>119794.57</v>
      </c>
      <c r="X176" s="5">
        <v>119794.57</v>
      </c>
    </row>
    <row r="177" spans="1:24" outlineLevel="2">
      <c r="M177" s="14" t="s">
        <v>742</v>
      </c>
      <c r="T177" s="5">
        <f>SUBTOTAL(9,T176:T176)</f>
        <v>0</v>
      </c>
      <c r="V177" s="5">
        <f>SUBTOTAL(9,V176:V176)</f>
        <v>119794.57</v>
      </c>
      <c r="W177" s="5">
        <f>SUBTOTAL(9,W176:W176)</f>
        <v>119794.57</v>
      </c>
    </row>
    <row r="178" spans="1:24" outlineLevel="1">
      <c r="A178" s="14" t="s">
        <v>704</v>
      </c>
      <c r="T178" s="5">
        <f>SUBTOTAL(9,T176:T176)</f>
        <v>0</v>
      </c>
      <c r="V178" s="5">
        <f>SUBTOTAL(9,V176:V176)</f>
        <v>119794.57</v>
      </c>
      <c r="W178" s="5">
        <f>SUBTOTAL(9,W176:W176)</f>
        <v>119794.57</v>
      </c>
    </row>
    <row r="179" spans="1:24" outlineLevel="3">
      <c r="A179" s="2" t="s">
        <v>272</v>
      </c>
      <c r="B179" s="3">
        <v>900225474</v>
      </c>
      <c r="C179" s="3">
        <v>0</v>
      </c>
      <c r="D179" s="2" t="s">
        <v>273</v>
      </c>
      <c r="E179" s="2">
        <v>8233973</v>
      </c>
      <c r="F179" s="2" t="s">
        <v>274</v>
      </c>
      <c r="G179" s="2" t="s">
        <v>275</v>
      </c>
      <c r="H179" s="2" t="s">
        <v>28</v>
      </c>
      <c r="I179" s="2" t="s">
        <v>11</v>
      </c>
      <c r="J179" s="2" t="s">
        <v>54</v>
      </c>
      <c r="K179" s="2" t="s">
        <v>55</v>
      </c>
      <c r="L179" s="2" t="s">
        <v>56</v>
      </c>
      <c r="M179" s="2" t="s">
        <v>32</v>
      </c>
      <c r="N179" s="3">
        <v>0</v>
      </c>
      <c r="O179" s="2" t="s">
        <v>33</v>
      </c>
      <c r="P179" s="2" t="s">
        <v>276</v>
      </c>
      <c r="Q179" s="4">
        <v>45975</v>
      </c>
      <c r="R179" s="4">
        <v>46067</v>
      </c>
      <c r="S179" s="3">
        <v>-47</v>
      </c>
      <c r="T179" s="5">
        <v>0</v>
      </c>
      <c r="U179" s="2" t="s">
        <v>20</v>
      </c>
      <c r="V179" s="5">
        <v>2402263.5</v>
      </c>
      <c r="W179" s="5">
        <v>2402263.5</v>
      </c>
      <c r="X179" s="5">
        <v>2402263.5</v>
      </c>
    </row>
    <row r="180" spans="1:24" outlineLevel="3">
      <c r="A180" s="2" t="s">
        <v>272</v>
      </c>
      <c r="B180" s="3">
        <v>900225474</v>
      </c>
      <c r="C180" s="3">
        <v>0</v>
      </c>
      <c r="D180" s="2" t="s">
        <v>273</v>
      </c>
      <c r="E180" s="2">
        <v>8233973</v>
      </c>
      <c r="F180" s="2" t="s">
        <v>274</v>
      </c>
      <c r="G180" s="2" t="s">
        <v>275</v>
      </c>
      <c r="H180" s="2" t="s">
        <v>28</v>
      </c>
      <c r="I180" s="2" t="s">
        <v>11</v>
      </c>
      <c r="J180" s="2" t="s">
        <v>54</v>
      </c>
      <c r="K180" s="2" t="s">
        <v>55</v>
      </c>
      <c r="L180" s="2" t="s">
        <v>56</v>
      </c>
      <c r="M180" s="2" t="s">
        <v>32</v>
      </c>
      <c r="N180" s="3">
        <v>0</v>
      </c>
      <c r="O180" s="2" t="s">
        <v>33</v>
      </c>
      <c r="P180" s="2" t="s">
        <v>277</v>
      </c>
      <c r="Q180" s="4">
        <v>45994</v>
      </c>
      <c r="R180" s="4">
        <v>46084</v>
      </c>
      <c r="S180" s="3">
        <v>-28</v>
      </c>
      <c r="T180" s="5">
        <v>0</v>
      </c>
      <c r="U180" s="2" t="s">
        <v>20</v>
      </c>
      <c r="V180" s="5">
        <v>6401289.3700000001</v>
      </c>
      <c r="W180" s="5">
        <v>6401289.3700000001</v>
      </c>
      <c r="X180" s="5">
        <v>8803552.8699999992</v>
      </c>
    </row>
    <row r="181" spans="1:24" outlineLevel="3">
      <c r="A181" s="2" t="s">
        <v>272</v>
      </c>
      <c r="B181" s="3">
        <v>900225474</v>
      </c>
      <c r="C181" s="3">
        <v>0</v>
      </c>
      <c r="D181" s="2" t="s">
        <v>273</v>
      </c>
      <c r="E181" s="2">
        <v>8233973</v>
      </c>
      <c r="F181" s="2" t="s">
        <v>274</v>
      </c>
      <c r="G181" s="2" t="s">
        <v>275</v>
      </c>
      <c r="H181" s="2" t="s">
        <v>28</v>
      </c>
      <c r="I181" s="2" t="s">
        <v>11</v>
      </c>
      <c r="J181" s="2" t="s">
        <v>54</v>
      </c>
      <c r="K181" s="2" t="s">
        <v>55</v>
      </c>
      <c r="L181" s="2" t="s">
        <v>56</v>
      </c>
      <c r="M181" s="2" t="s">
        <v>32</v>
      </c>
      <c r="N181" s="3">
        <v>0</v>
      </c>
      <c r="O181" s="2" t="s">
        <v>33</v>
      </c>
      <c r="P181" s="2" t="s">
        <v>278</v>
      </c>
      <c r="Q181" s="4">
        <v>46007</v>
      </c>
      <c r="R181" s="4">
        <v>46097</v>
      </c>
      <c r="S181" s="3">
        <v>-15</v>
      </c>
      <c r="T181" s="5">
        <v>0</v>
      </c>
      <c r="U181" s="2" t="s">
        <v>20</v>
      </c>
      <c r="V181" s="5">
        <v>1146424.5</v>
      </c>
      <c r="W181" s="5">
        <v>1146424.5</v>
      </c>
      <c r="X181" s="5">
        <v>9949977.3699999992</v>
      </c>
    </row>
    <row r="182" spans="1:24" outlineLevel="3">
      <c r="A182" s="2" t="s">
        <v>272</v>
      </c>
      <c r="B182" s="3">
        <v>900225474</v>
      </c>
      <c r="C182" s="3">
        <v>0</v>
      </c>
      <c r="D182" s="2" t="s">
        <v>273</v>
      </c>
      <c r="E182" s="2">
        <v>8233973</v>
      </c>
      <c r="F182" s="2" t="s">
        <v>274</v>
      </c>
      <c r="G182" s="2" t="s">
        <v>275</v>
      </c>
      <c r="H182" s="2" t="s">
        <v>28</v>
      </c>
      <c r="I182" s="2" t="s">
        <v>11</v>
      </c>
      <c r="J182" s="2" t="s">
        <v>54</v>
      </c>
      <c r="K182" s="2" t="s">
        <v>55</v>
      </c>
      <c r="L182" s="2" t="s">
        <v>56</v>
      </c>
      <c r="M182" s="2" t="s">
        <v>32</v>
      </c>
      <c r="N182" s="3">
        <v>0</v>
      </c>
      <c r="O182" s="2" t="s">
        <v>33</v>
      </c>
      <c r="P182" s="2" t="s">
        <v>279</v>
      </c>
      <c r="Q182" s="4">
        <v>46036</v>
      </c>
      <c r="R182" s="4">
        <v>46126</v>
      </c>
      <c r="S182" s="3">
        <v>13</v>
      </c>
      <c r="T182" s="5">
        <v>0</v>
      </c>
      <c r="U182" s="2" t="s">
        <v>58</v>
      </c>
      <c r="V182" s="5">
        <v>44997283.5</v>
      </c>
      <c r="W182" s="5">
        <v>0</v>
      </c>
      <c r="X182" s="5">
        <v>9949977.3699999992</v>
      </c>
    </row>
    <row r="183" spans="1:24" outlineLevel="3">
      <c r="A183" s="2" t="s">
        <v>272</v>
      </c>
      <c r="B183" s="3">
        <v>900225474</v>
      </c>
      <c r="C183" s="3">
        <v>0</v>
      </c>
      <c r="D183" s="2" t="s">
        <v>273</v>
      </c>
      <c r="E183" s="2">
        <v>8233973</v>
      </c>
      <c r="F183" s="2" t="s">
        <v>274</v>
      </c>
      <c r="G183" s="2" t="s">
        <v>275</v>
      </c>
      <c r="H183" s="2" t="s">
        <v>28</v>
      </c>
      <c r="I183" s="2" t="s">
        <v>11</v>
      </c>
      <c r="J183" s="2" t="s">
        <v>54</v>
      </c>
      <c r="K183" s="2" t="s">
        <v>55</v>
      </c>
      <c r="L183" s="2" t="s">
        <v>56</v>
      </c>
      <c r="M183" s="2" t="s">
        <v>32</v>
      </c>
      <c r="N183" s="3">
        <v>0</v>
      </c>
      <c r="O183" s="2" t="s">
        <v>33</v>
      </c>
      <c r="P183" s="2" t="s">
        <v>280</v>
      </c>
      <c r="Q183" s="4">
        <v>46042</v>
      </c>
      <c r="R183" s="4">
        <v>46132</v>
      </c>
      <c r="S183" s="3">
        <v>19</v>
      </c>
      <c r="T183" s="5">
        <v>0</v>
      </c>
      <c r="U183" s="2" t="s">
        <v>58</v>
      </c>
      <c r="V183" s="5">
        <v>905496.15</v>
      </c>
      <c r="W183" s="5">
        <v>0</v>
      </c>
      <c r="X183" s="5">
        <v>9949977.3699999992</v>
      </c>
    </row>
    <row r="184" spans="1:24" outlineLevel="3">
      <c r="A184" s="2" t="s">
        <v>272</v>
      </c>
      <c r="B184" s="3">
        <v>900225474</v>
      </c>
      <c r="C184" s="3">
        <v>0</v>
      </c>
      <c r="D184" s="2" t="s">
        <v>273</v>
      </c>
      <c r="E184" s="2">
        <v>8233973</v>
      </c>
      <c r="F184" s="2" t="s">
        <v>274</v>
      </c>
      <c r="G184" s="2" t="s">
        <v>275</v>
      </c>
      <c r="H184" s="2" t="s">
        <v>28</v>
      </c>
      <c r="I184" s="2" t="s">
        <v>11</v>
      </c>
      <c r="J184" s="2" t="s">
        <v>54</v>
      </c>
      <c r="K184" s="2" t="s">
        <v>55</v>
      </c>
      <c r="L184" s="2" t="s">
        <v>56</v>
      </c>
      <c r="M184" s="2" t="s">
        <v>32</v>
      </c>
      <c r="N184" s="3">
        <v>0</v>
      </c>
      <c r="O184" s="2" t="s">
        <v>33</v>
      </c>
      <c r="P184" s="2" t="s">
        <v>281</v>
      </c>
      <c r="Q184" s="4">
        <v>46042</v>
      </c>
      <c r="R184" s="4">
        <v>46132</v>
      </c>
      <c r="S184" s="3">
        <v>19</v>
      </c>
      <c r="T184" s="5">
        <v>0</v>
      </c>
      <c r="U184" s="2" t="s">
        <v>58</v>
      </c>
      <c r="V184" s="5">
        <v>23085543</v>
      </c>
      <c r="W184" s="5">
        <v>0</v>
      </c>
      <c r="X184" s="5">
        <v>9949977.3699999992</v>
      </c>
    </row>
    <row r="185" spans="1:24" outlineLevel="3">
      <c r="A185" s="2" t="s">
        <v>272</v>
      </c>
      <c r="B185" s="3">
        <v>900225474</v>
      </c>
      <c r="C185" s="3">
        <v>0</v>
      </c>
      <c r="D185" s="2" t="s">
        <v>273</v>
      </c>
      <c r="E185" s="2">
        <v>8233973</v>
      </c>
      <c r="F185" s="2" t="s">
        <v>274</v>
      </c>
      <c r="G185" s="2" t="s">
        <v>275</v>
      </c>
      <c r="H185" s="2" t="s">
        <v>28</v>
      </c>
      <c r="I185" s="2" t="s">
        <v>11</v>
      </c>
      <c r="J185" s="2" t="s">
        <v>54</v>
      </c>
      <c r="K185" s="2" t="s">
        <v>55</v>
      </c>
      <c r="L185" s="2" t="s">
        <v>56</v>
      </c>
      <c r="M185" s="2" t="s">
        <v>32</v>
      </c>
      <c r="N185" s="3">
        <v>0</v>
      </c>
      <c r="O185" s="2" t="s">
        <v>33</v>
      </c>
      <c r="P185" s="2" t="s">
        <v>282</v>
      </c>
      <c r="Q185" s="4">
        <v>46055</v>
      </c>
      <c r="R185" s="4">
        <v>46144</v>
      </c>
      <c r="S185" s="3">
        <v>31</v>
      </c>
      <c r="T185" s="5">
        <v>0</v>
      </c>
      <c r="U185" s="2" t="s">
        <v>58</v>
      </c>
      <c r="V185" s="5">
        <v>1185268.5</v>
      </c>
      <c r="W185" s="5">
        <v>0</v>
      </c>
      <c r="X185" s="5">
        <v>9949977.3699999992</v>
      </c>
    </row>
    <row r="186" spans="1:24" outlineLevel="3">
      <c r="A186" s="2" t="s">
        <v>272</v>
      </c>
      <c r="B186" s="3">
        <v>900225474</v>
      </c>
      <c r="C186" s="3">
        <v>0</v>
      </c>
      <c r="D186" s="2" t="s">
        <v>273</v>
      </c>
      <c r="E186" s="2">
        <v>8233973</v>
      </c>
      <c r="F186" s="2" t="s">
        <v>274</v>
      </c>
      <c r="G186" s="2" t="s">
        <v>275</v>
      </c>
      <c r="H186" s="2" t="s">
        <v>28</v>
      </c>
      <c r="I186" s="2" t="s">
        <v>11</v>
      </c>
      <c r="J186" s="2" t="s">
        <v>54</v>
      </c>
      <c r="K186" s="2" t="s">
        <v>55</v>
      </c>
      <c r="L186" s="2" t="s">
        <v>56</v>
      </c>
      <c r="M186" s="2" t="s">
        <v>32</v>
      </c>
      <c r="N186" s="3">
        <v>0</v>
      </c>
      <c r="O186" s="2" t="s">
        <v>33</v>
      </c>
      <c r="P186" s="2" t="s">
        <v>283</v>
      </c>
      <c r="Q186" s="4">
        <v>46055</v>
      </c>
      <c r="R186" s="4">
        <v>46144</v>
      </c>
      <c r="S186" s="3">
        <v>31</v>
      </c>
      <c r="T186" s="5">
        <v>0</v>
      </c>
      <c r="U186" s="2" t="s">
        <v>58</v>
      </c>
      <c r="V186" s="5">
        <v>8435739</v>
      </c>
      <c r="W186" s="5">
        <v>0</v>
      </c>
      <c r="X186" s="5">
        <v>9949977.3699999992</v>
      </c>
    </row>
    <row r="187" spans="1:24" outlineLevel="3">
      <c r="A187" s="2" t="s">
        <v>272</v>
      </c>
      <c r="B187" s="3">
        <v>900225474</v>
      </c>
      <c r="C187" s="3">
        <v>0</v>
      </c>
      <c r="D187" s="2" t="s">
        <v>273</v>
      </c>
      <c r="E187" s="2">
        <v>8233973</v>
      </c>
      <c r="F187" s="2" t="s">
        <v>274</v>
      </c>
      <c r="G187" s="2" t="s">
        <v>275</v>
      </c>
      <c r="H187" s="2" t="s">
        <v>28</v>
      </c>
      <c r="I187" s="2" t="s">
        <v>11</v>
      </c>
      <c r="J187" s="2" t="s">
        <v>54</v>
      </c>
      <c r="K187" s="2" t="s">
        <v>55</v>
      </c>
      <c r="L187" s="2" t="s">
        <v>56</v>
      </c>
      <c r="M187" s="2" t="s">
        <v>32</v>
      </c>
      <c r="N187" s="3">
        <v>0</v>
      </c>
      <c r="O187" s="2" t="s">
        <v>33</v>
      </c>
      <c r="P187" s="2" t="s">
        <v>284</v>
      </c>
      <c r="Q187" s="4">
        <v>46055</v>
      </c>
      <c r="R187" s="4">
        <v>46144</v>
      </c>
      <c r="S187" s="3">
        <v>31</v>
      </c>
      <c r="T187" s="5">
        <v>0</v>
      </c>
      <c r="U187" s="2" t="s">
        <v>58</v>
      </c>
      <c r="V187" s="5">
        <v>640053.37</v>
      </c>
      <c r="W187" s="5">
        <v>0</v>
      </c>
      <c r="X187" s="5">
        <v>9949977.3699999992</v>
      </c>
    </row>
    <row r="188" spans="1:24" outlineLevel="3">
      <c r="A188" s="2" t="s">
        <v>272</v>
      </c>
      <c r="B188" s="3">
        <v>900225474</v>
      </c>
      <c r="C188" s="3">
        <v>0</v>
      </c>
      <c r="D188" s="2" t="s">
        <v>273</v>
      </c>
      <c r="E188" s="2">
        <v>8233973</v>
      </c>
      <c r="F188" s="2" t="s">
        <v>274</v>
      </c>
      <c r="G188" s="2" t="s">
        <v>275</v>
      </c>
      <c r="H188" s="2" t="s">
        <v>28</v>
      </c>
      <c r="I188" s="2" t="s">
        <v>11</v>
      </c>
      <c r="J188" s="2" t="s">
        <v>54</v>
      </c>
      <c r="K188" s="2" t="s">
        <v>55</v>
      </c>
      <c r="L188" s="2" t="s">
        <v>56</v>
      </c>
      <c r="M188" s="2" t="s">
        <v>32</v>
      </c>
      <c r="N188" s="3">
        <v>0</v>
      </c>
      <c r="O188" s="2" t="s">
        <v>33</v>
      </c>
      <c r="P188" s="2" t="s">
        <v>285</v>
      </c>
      <c r="Q188" s="4">
        <v>46063</v>
      </c>
      <c r="R188" s="4">
        <v>46152</v>
      </c>
      <c r="S188" s="3">
        <v>39</v>
      </c>
      <c r="T188" s="5">
        <v>0</v>
      </c>
      <c r="U188" s="2" t="s">
        <v>58</v>
      </c>
      <c r="V188" s="5">
        <v>52874113.5</v>
      </c>
      <c r="W188" s="5">
        <v>0</v>
      </c>
      <c r="X188" s="5">
        <v>9949977.3699999992</v>
      </c>
    </row>
    <row r="189" spans="1:24" outlineLevel="3">
      <c r="A189" s="2" t="s">
        <v>272</v>
      </c>
      <c r="B189" s="3">
        <v>900225474</v>
      </c>
      <c r="C189" s="3">
        <v>0</v>
      </c>
      <c r="D189" s="2" t="s">
        <v>273</v>
      </c>
      <c r="E189" s="2">
        <v>8233973</v>
      </c>
      <c r="F189" s="2" t="s">
        <v>274</v>
      </c>
      <c r="G189" s="2" t="s">
        <v>275</v>
      </c>
      <c r="H189" s="2" t="s">
        <v>28</v>
      </c>
      <c r="I189" s="2" t="s">
        <v>11</v>
      </c>
      <c r="J189" s="2" t="s">
        <v>54</v>
      </c>
      <c r="K189" s="2" t="s">
        <v>55</v>
      </c>
      <c r="L189" s="2" t="s">
        <v>56</v>
      </c>
      <c r="M189" s="2" t="s">
        <v>32</v>
      </c>
      <c r="N189" s="3">
        <v>0</v>
      </c>
      <c r="O189" s="2" t="s">
        <v>33</v>
      </c>
      <c r="P189" s="2" t="s">
        <v>286</v>
      </c>
      <c r="Q189" s="4">
        <v>46063</v>
      </c>
      <c r="R189" s="4">
        <v>46152</v>
      </c>
      <c r="S189" s="3">
        <v>39</v>
      </c>
      <c r="T189" s="5">
        <v>0</v>
      </c>
      <c r="U189" s="2" t="s">
        <v>58</v>
      </c>
      <c r="V189" s="5">
        <v>10040940</v>
      </c>
      <c r="W189" s="5">
        <v>0</v>
      </c>
      <c r="X189" s="5">
        <v>9949977.3699999992</v>
      </c>
    </row>
    <row r="190" spans="1:24" outlineLevel="3">
      <c r="A190" s="2" t="s">
        <v>272</v>
      </c>
      <c r="B190" s="3">
        <v>900225474</v>
      </c>
      <c r="C190" s="3">
        <v>0</v>
      </c>
      <c r="D190" s="2" t="s">
        <v>273</v>
      </c>
      <c r="E190" s="2">
        <v>8233973</v>
      </c>
      <c r="F190" s="2" t="s">
        <v>274</v>
      </c>
      <c r="G190" s="2" t="s">
        <v>275</v>
      </c>
      <c r="H190" s="2" t="s">
        <v>28</v>
      </c>
      <c r="I190" s="2" t="s">
        <v>11</v>
      </c>
      <c r="J190" s="2" t="s">
        <v>54</v>
      </c>
      <c r="K190" s="2" t="s">
        <v>55</v>
      </c>
      <c r="L190" s="2" t="s">
        <v>56</v>
      </c>
      <c r="M190" s="2" t="s">
        <v>32</v>
      </c>
      <c r="N190" s="3">
        <v>0</v>
      </c>
      <c r="O190" s="2" t="s">
        <v>33</v>
      </c>
      <c r="P190" s="2" t="s">
        <v>287</v>
      </c>
      <c r="Q190" s="4">
        <v>46069</v>
      </c>
      <c r="R190" s="4">
        <v>46158</v>
      </c>
      <c r="S190" s="3">
        <v>45</v>
      </c>
      <c r="T190" s="5">
        <v>0</v>
      </c>
      <c r="U190" s="2" t="s">
        <v>58</v>
      </c>
      <c r="V190" s="5">
        <v>74336476.5</v>
      </c>
      <c r="W190" s="5">
        <v>0</v>
      </c>
      <c r="X190" s="5">
        <v>9949977.3699999992</v>
      </c>
    </row>
    <row r="191" spans="1:24" outlineLevel="3">
      <c r="A191" s="2" t="s">
        <v>272</v>
      </c>
      <c r="B191" s="3">
        <v>900225474</v>
      </c>
      <c r="C191" s="3">
        <v>0</v>
      </c>
      <c r="D191" s="2" t="s">
        <v>273</v>
      </c>
      <c r="E191" s="2">
        <v>8233973</v>
      </c>
      <c r="F191" s="2" t="s">
        <v>274</v>
      </c>
      <c r="G191" s="2" t="s">
        <v>275</v>
      </c>
      <c r="H191" s="2" t="s">
        <v>28</v>
      </c>
      <c r="I191" s="2" t="s">
        <v>11</v>
      </c>
      <c r="J191" s="2" t="s">
        <v>54</v>
      </c>
      <c r="K191" s="2" t="s">
        <v>55</v>
      </c>
      <c r="L191" s="2" t="s">
        <v>56</v>
      </c>
      <c r="M191" s="2" t="s">
        <v>32</v>
      </c>
      <c r="N191" s="3">
        <v>0</v>
      </c>
      <c r="O191" s="2" t="s">
        <v>33</v>
      </c>
      <c r="P191" s="2" t="s">
        <v>288</v>
      </c>
      <c r="Q191" s="4">
        <v>46072</v>
      </c>
      <c r="R191" s="4">
        <v>46161</v>
      </c>
      <c r="S191" s="3">
        <v>48</v>
      </c>
      <c r="T191" s="5">
        <v>0</v>
      </c>
      <c r="U191" s="2" t="s">
        <v>58</v>
      </c>
      <c r="V191" s="5">
        <v>412235</v>
      </c>
      <c r="W191" s="5">
        <v>0</v>
      </c>
      <c r="X191" s="5">
        <v>9949977.3699999992</v>
      </c>
    </row>
    <row r="192" spans="1:24" outlineLevel="3">
      <c r="A192" s="2" t="s">
        <v>272</v>
      </c>
      <c r="B192" s="3">
        <v>900225474</v>
      </c>
      <c r="C192" s="3">
        <v>0</v>
      </c>
      <c r="D192" s="2" t="s">
        <v>273</v>
      </c>
      <c r="E192" s="2">
        <v>8233973</v>
      </c>
      <c r="F192" s="2" t="s">
        <v>274</v>
      </c>
      <c r="G192" s="2" t="s">
        <v>275</v>
      </c>
      <c r="H192" s="2" t="s">
        <v>28</v>
      </c>
      <c r="I192" s="2" t="s">
        <v>11</v>
      </c>
      <c r="J192" s="2" t="s">
        <v>54</v>
      </c>
      <c r="K192" s="2" t="s">
        <v>55</v>
      </c>
      <c r="L192" s="2" t="s">
        <v>56</v>
      </c>
      <c r="M192" s="2" t="s">
        <v>32</v>
      </c>
      <c r="N192" s="3">
        <v>0</v>
      </c>
      <c r="O192" s="2" t="s">
        <v>33</v>
      </c>
      <c r="P192" s="2" t="s">
        <v>289</v>
      </c>
      <c r="Q192" s="4">
        <v>46072</v>
      </c>
      <c r="R192" s="4">
        <v>46161</v>
      </c>
      <c r="S192" s="3">
        <v>48</v>
      </c>
      <c r="T192" s="5">
        <v>0</v>
      </c>
      <c r="U192" s="2" t="s">
        <v>58</v>
      </c>
      <c r="V192" s="5">
        <v>226024</v>
      </c>
      <c r="W192" s="5">
        <v>0</v>
      </c>
      <c r="X192" s="5">
        <v>9949977.3699999992</v>
      </c>
    </row>
    <row r="193" spans="1:24" outlineLevel="3">
      <c r="A193" s="2" t="s">
        <v>272</v>
      </c>
      <c r="B193" s="3">
        <v>900225474</v>
      </c>
      <c r="C193" s="3">
        <v>0</v>
      </c>
      <c r="D193" s="2" t="s">
        <v>273</v>
      </c>
      <c r="E193" s="2">
        <v>8233973</v>
      </c>
      <c r="F193" s="2" t="s">
        <v>274</v>
      </c>
      <c r="G193" s="2" t="s">
        <v>275</v>
      </c>
      <c r="H193" s="2" t="s">
        <v>28</v>
      </c>
      <c r="I193" s="2" t="s">
        <v>11</v>
      </c>
      <c r="J193" s="2" t="s">
        <v>54</v>
      </c>
      <c r="K193" s="2" t="s">
        <v>55</v>
      </c>
      <c r="L193" s="2" t="s">
        <v>56</v>
      </c>
      <c r="M193" s="2" t="s">
        <v>32</v>
      </c>
      <c r="N193" s="3">
        <v>0</v>
      </c>
      <c r="O193" s="2" t="s">
        <v>33</v>
      </c>
      <c r="P193" s="2" t="s">
        <v>290</v>
      </c>
      <c r="Q193" s="4">
        <v>46072</v>
      </c>
      <c r="R193" s="4">
        <v>46161</v>
      </c>
      <c r="S193" s="3">
        <v>48</v>
      </c>
      <c r="T193" s="5">
        <v>0</v>
      </c>
      <c r="U193" s="2" t="s">
        <v>58</v>
      </c>
      <c r="V193" s="5">
        <v>23536158.75</v>
      </c>
      <c r="W193" s="5">
        <v>0</v>
      </c>
      <c r="X193" s="5">
        <v>9949977.3699999992</v>
      </c>
    </row>
    <row r="194" spans="1:24" outlineLevel="3">
      <c r="A194" s="2" t="s">
        <v>272</v>
      </c>
      <c r="B194" s="3">
        <v>900225474</v>
      </c>
      <c r="C194" s="3">
        <v>0</v>
      </c>
      <c r="D194" s="2" t="s">
        <v>273</v>
      </c>
      <c r="E194" s="2">
        <v>8233973</v>
      </c>
      <c r="F194" s="2" t="s">
        <v>274</v>
      </c>
      <c r="G194" s="2" t="s">
        <v>275</v>
      </c>
      <c r="H194" s="2" t="s">
        <v>28</v>
      </c>
      <c r="I194" s="2" t="s">
        <v>11</v>
      </c>
      <c r="J194" s="2" t="s">
        <v>54</v>
      </c>
      <c r="K194" s="2" t="s">
        <v>55</v>
      </c>
      <c r="L194" s="2" t="s">
        <v>56</v>
      </c>
      <c r="M194" s="2" t="s">
        <v>32</v>
      </c>
      <c r="N194" s="3">
        <v>0</v>
      </c>
      <c r="O194" s="2" t="s">
        <v>33</v>
      </c>
      <c r="P194" s="2" t="s">
        <v>291</v>
      </c>
      <c r="Q194" s="4">
        <v>46072</v>
      </c>
      <c r="R194" s="4">
        <v>46161</v>
      </c>
      <c r="S194" s="3">
        <v>48</v>
      </c>
      <c r="T194" s="5">
        <v>0</v>
      </c>
      <c r="U194" s="2" t="s">
        <v>58</v>
      </c>
      <c r="V194" s="5">
        <v>57299463</v>
      </c>
      <c r="W194" s="5">
        <v>0</v>
      </c>
      <c r="X194" s="5">
        <v>9949977.3699999992</v>
      </c>
    </row>
    <row r="195" spans="1:24" outlineLevel="3">
      <c r="A195" s="2" t="s">
        <v>272</v>
      </c>
      <c r="B195" s="3">
        <v>900225474</v>
      </c>
      <c r="C195" s="3">
        <v>0</v>
      </c>
      <c r="D195" s="2" t="s">
        <v>273</v>
      </c>
      <c r="E195" s="2">
        <v>8233973</v>
      </c>
      <c r="F195" s="2" t="s">
        <v>274</v>
      </c>
      <c r="G195" s="2" t="s">
        <v>275</v>
      </c>
      <c r="H195" s="2" t="s">
        <v>28</v>
      </c>
      <c r="I195" s="2" t="s">
        <v>11</v>
      </c>
      <c r="J195" s="2" t="s">
        <v>54</v>
      </c>
      <c r="K195" s="2" t="s">
        <v>55</v>
      </c>
      <c r="L195" s="2" t="s">
        <v>56</v>
      </c>
      <c r="M195" s="2" t="s">
        <v>32</v>
      </c>
      <c r="N195" s="3">
        <v>0</v>
      </c>
      <c r="O195" s="2" t="s">
        <v>33</v>
      </c>
      <c r="P195" s="2" t="s">
        <v>292</v>
      </c>
      <c r="Q195" s="4">
        <v>46091</v>
      </c>
      <c r="R195" s="4">
        <v>46183</v>
      </c>
      <c r="S195" s="3">
        <v>69</v>
      </c>
      <c r="T195" s="5">
        <v>0</v>
      </c>
      <c r="U195" s="2" t="s">
        <v>58</v>
      </c>
      <c r="V195" s="5">
        <v>5882101.8700000001</v>
      </c>
      <c r="W195" s="5">
        <v>0</v>
      </c>
      <c r="X195" s="5">
        <v>9949977.3699999992</v>
      </c>
    </row>
    <row r="196" spans="1:24" outlineLevel="2">
      <c r="M196" s="14" t="s">
        <v>742</v>
      </c>
      <c r="T196" s="5">
        <f>SUBTOTAL(9,T179:T195)</f>
        <v>0</v>
      </c>
      <c r="V196" s="5">
        <f>SUBTOTAL(9,V179:V195)</f>
        <v>313806873.50999999</v>
      </c>
      <c r="W196" s="5">
        <f>SUBTOTAL(9,W179:W195)</f>
        <v>9949977.370000001</v>
      </c>
    </row>
    <row r="197" spans="1:24" outlineLevel="1">
      <c r="A197" s="14" t="s">
        <v>705</v>
      </c>
      <c r="T197" s="5">
        <f>SUBTOTAL(9,T179:T195)</f>
        <v>0</v>
      </c>
      <c r="V197" s="5">
        <f>SUBTOTAL(9,V179:V195)</f>
        <v>313806873.50999999</v>
      </c>
      <c r="W197" s="5">
        <f>SUBTOTAL(9,W179:W195)</f>
        <v>9949977.370000001</v>
      </c>
    </row>
    <row r="198" spans="1:24" outlineLevel="3">
      <c r="A198" s="2" t="s">
        <v>293</v>
      </c>
      <c r="B198" s="3">
        <v>900229913</v>
      </c>
      <c r="C198" s="3">
        <v>0</v>
      </c>
      <c r="D198" s="2" t="s">
        <v>294</v>
      </c>
      <c r="E198" s="2">
        <v>6040954</v>
      </c>
      <c r="F198" s="2" t="s">
        <v>295</v>
      </c>
      <c r="G198" s="2" t="s">
        <v>157</v>
      </c>
      <c r="H198" s="2" t="s">
        <v>28</v>
      </c>
      <c r="I198" s="2" t="s">
        <v>11</v>
      </c>
      <c r="J198" s="2" t="s">
        <v>54</v>
      </c>
      <c r="K198" s="2" t="s">
        <v>55</v>
      </c>
      <c r="L198" s="2" t="s">
        <v>56</v>
      </c>
      <c r="M198" s="2" t="s">
        <v>32</v>
      </c>
      <c r="N198" s="3">
        <v>0</v>
      </c>
      <c r="O198" s="2" t="s">
        <v>33</v>
      </c>
      <c r="P198" s="2" t="s">
        <v>296</v>
      </c>
      <c r="Q198" s="4">
        <v>46085</v>
      </c>
      <c r="R198" s="4">
        <v>46116</v>
      </c>
      <c r="S198" s="3">
        <v>3</v>
      </c>
      <c r="T198" s="5">
        <v>0</v>
      </c>
      <c r="U198" s="2" t="s">
        <v>58</v>
      </c>
      <c r="V198" s="5">
        <v>1291891.8</v>
      </c>
      <c r="W198" s="5">
        <v>0</v>
      </c>
      <c r="X198" s="5">
        <v>0</v>
      </c>
    </row>
    <row r="199" spans="1:24" outlineLevel="2">
      <c r="M199" s="14" t="s">
        <v>742</v>
      </c>
      <c r="T199" s="5">
        <f>SUBTOTAL(9,T198:T198)</f>
        <v>0</v>
      </c>
      <c r="V199" s="5">
        <f>SUBTOTAL(9,V198:V198)</f>
        <v>1291891.8</v>
      </c>
      <c r="W199" s="5">
        <f>SUBTOTAL(9,W198:W198)</f>
        <v>0</v>
      </c>
    </row>
    <row r="200" spans="1:24" outlineLevel="1">
      <c r="A200" s="14" t="s">
        <v>706</v>
      </c>
      <c r="T200" s="5">
        <f>SUBTOTAL(9,T198:T198)</f>
        <v>0</v>
      </c>
      <c r="V200" s="5">
        <f>SUBTOTAL(9,V198:V198)</f>
        <v>1291891.8</v>
      </c>
      <c r="W200" s="5">
        <f>SUBTOTAL(9,W198:W198)</f>
        <v>0</v>
      </c>
    </row>
    <row r="201" spans="1:24" outlineLevel="3">
      <c r="A201" s="2" t="s">
        <v>297</v>
      </c>
      <c r="B201" s="3">
        <v>900240333</v>
      </c>
      <c r="C201" s="3">
        <v>0</v>
      </c>
      <c r="D201" s="2" t="s">
        <v>298</v>
      </c>
      <c r="E201" s="2">
        <v>7424228</v>
      </c>
      <c r="F201" s="2" t="s">
        <v>299</v>
      </c>
      <c r="G201" s="2" t="s">
        <v>38</v>
      </c>
      <c r="H201" s="2" t="s">
        <v>28</v>
      </c>
      <c r="I201" s="2" t="s">
        <v>11</v>
      </c>
      <c r="J201" s="2" t="s">
        <v>59</v>
      </c>
      <c r="K201" s="2" t="s">
        <v>47</v>
      </c>
      <c r="L201" s="2" t="s">
        <v>48</v>
      </c>
      <c r="M201" s="2" t="s">
        <v>32</v>
      </c>
      <c r="N201" s="3">
        <v>0</v>
      </c>
      <c r="O201" s="2" t="s">
        <v>33</v>
      </c>
      <c r="P201" s="2" t="s">
        <v>300</v>
      </c>
      <c r="Q201" s="4">
        <v>44781</v>
      </c>
      <c r="R201" s="4">
        <v>44841</v>
      </c>
      <c r="S201" s="3">
        <v>-1254</v>
      </c>
      <c r="T201" s="5">
        <v>0</v>
      </c>
      <c r="U201" s="2" t="s">
        <v>20</v>
      </c>
      <c r="V201" s="5">
        <v>0</v>
      </c>
      <c r="W201" s="5">
        <v>0</v>
      </c>
      <c r="X201" s="5">
        <v>0</v>
      </c>
    </row>
    <row r="202" spans="1:24" outlineLevel="3">
      <c r="A202" s="2" t="s">
        <v>297</v>
      </c>
      <c r="B202" s="3">
        <v>900240333</v>
      </c>
      <c r="C202" s="3">
        <v>0</v>
      </c>
      <c r="D202" s="2" t="s">
        <v>298</v>
      </c>
      <c r="E202" s="2">
        <v>7424228</v>
      </c>
      <c r="F202" s="2" t="s">
        <v>299</v>
      </c>
      <c r="G202" s="2" t="s">
        <v>38</v>
      </c>
      <c r="H202" s="2" t="s">
        <v>28</v>
      </c>
      <c r="I202" s="2" t="s">
        <v>11</v>
      </c>
      <c r="J202" s="2" t="s">
        <v>59</v>
      </c>
      <c r="K202" s="2" t="s">
        <v>47</v>
      </c>
      <c r="L202" s="2" t="s">
        <v>48</v>
      </c>
      <c r="M202" s="2" t="s">
        <v>32</v>
      </c>
      <c r="N202" s="3">
        <v>0</v>
      </c>
      <c r="O202" s="2" t="s">
        <v>33</v>
      </c>
      <c r="P202" s="2" t="s">
        <v>301</v>
      </c>
      <c r="Q202" s="4">
        <v>45041</v>
      </c>
      <c r="R202" s="4">
        <v>45101</v>
      </c>
      <c r="S202" s="3">
        <v>-997</v>
      </c>
      <c r="T202" s="5">
        <v>0</v>
      </c>
      <c r="U202" s="2" t="s">
        <v>20</v>
      </c>
      <c r="V202" s="5">
        <v>0</v>
      </c>
      <c r="W202" s="5">
        <v>0</v>
      </c>
      <c r="X202" s="5">
        <v>0</v>
      </c>
    </row>
    <row r="203" spans="1:24" outlineLevel="3">
      <c r="A203" s="2" t="s">
        <v>297</v>
      </c>
      <c r="B203" s="3">
        <v>900240333</v>
      </c>
      <c r="C203" s="3">
        <v>0</v>
      </c>
      <c r="D203" s="2" t="s">
        <v>298</v>
      </c>
      <c r="E203" s="2">
        <v>7424228</v>
      </c>
      <c r="F203" s="2" t="s">
        <v>299</v>
      </c>
      <c r="G203" s="2" t="s">
        <v>38</v>
      </c>
      <c r="H203" s="2" t="s">
        <v>28</v>
      </c>
      <c r="I203" s="2" t="s">
        <v>11</v>
      </c>
      <c r="J203" s="2" t="s">
        <v>59</v>
      </c>
      <c r="K203" s="2" t="s">
        <v>47</v>
      </c>
      <c r="L203" s="2" t="s">
        <v>48</v>
      </c>
      <c r="M203" s="2" t="s">
        <v>32</v>
      </c>
      <c r="N203" s="3">
        <v>0</v>
      </c>
      <c r="O203" s="2" t="s">
        <v>33</v>
      </c>
      <c r="P203" s="2" t="s">
        <v>302</v>
      </c>
      <c r="Q203" s="4">
        <v>45387</v>
      </c>
      <c r="R203" s="4">
        <v>45447</v>
      </c>
      <c r="S203" s="3">
        <v>-657</v>
      </c>
      <c r="T203" s="5">
        <v>0</v>
      </c>
      <c r="U203" s="2" t="s">
        <v>20</v>
      </c>
      <c r="V203" s="5">
        <v>0</v>
      </c>
      <c r="W203" s="5">
        <v>0</v>
      </c>
      <c r="X203" s="5">
        <v>0</v>
      </c>
    </row>
    <row r="204" spans="1:24" outlineLevel="3">
      <c r="A204" s="2" t="s">
        <v>297</v>
      </c>
      <c r="B204" s="3">
        <v>900240333</v>
      </c>
      <c r="C204" s="3">
        <v>0</v>
      </c>
      <c r="D204" s="2" t="s">
        <v>298</v>
      </c>
      <c r="E204" s="2">
        <v>7424228</v>
      </c>
      <c r="F204" s="2" t="s">
        <v>299</v>
      </c>
      <c r="G204" s="2" t="s">
        <v>38</v>
      </c>
      <c r="H204" s="2" t="s">
        <v>28</v>
      </c>
      <c r="I204" s="2" t="s">
        <v>11</v>
      </c>
      <c r="J204" s="2" t="s">
        <v>59</v>
      </c>
      <c r="K204" s="2" t="s">
        <v>47</v>
      </c>
      <c r="L204" s="2" t="s">
        <v>48</v>
      </c>
      <c r="M204" s="2" t="s">
        <v>32</v>
      </c>
      <c r="N204" s="3">
        <v>0</v>
      </c>
      <c r="O204" s="2" t="s">
        <v>33</v>
      </c>
      <c r="P204" s="2" t="s">
        <v>303</v>
      </c>
      <c r="Q204" s="4">
        <v>45390</v>
      </c>
      <c r="R204" s="4">
        <v>45450</v>
      </c>
      <c r="S204" s="3">
        <v>-654</v>
      </c>
      <c r="T204" s="5">
        <v>0</v>
      </c>
      <c r="U204" s="2" t="s">
        <v>20</v>
      </c>
      <c r="V204" s="5">
        <v>0</v>
      </c>
      <c r="W204" s="5">
        <v>0</v>
      </c>
      <c r="X204" s="5">
        <v>0</v>
      </c>
    </row>
    <row r="205" spans="1:24" outlineLevel="3">
      <c r="A205" s="2" t="s">
        <v>297</v>
      </c>
      <c r="B205" s="3">
        <v>900240333</v>
      </c>
      <c r="C205" s="3">
        <v>0</v>
      </c>
      <c r="D205" s="2" t="s">
        <v>298</v>
      </c>
      <c r="E205" s="2">
        <v>7424228</v>
      </c>
      <c r="F205" s="2" t="s">
        <v>299</v>
      </c>
      <c r="G205" s="2" t="s">
        <v>38</v>
      </c>
      <c r="H205" s="2" t="s">
        <v>28</v>
      </c>
      <c r="I205" s="2" t="s">
        <v>11</v>
      </c>
      <c r="J205" s="2" t="s">
        <v>59</v>
      </c>
      <c r="K205" s="2" t="s">
        <v>47</v>
      </c>
      <c r="L205" s="2" t="s">
        <v>48</v>
      </c>
      <c r="M205" s="2" t="s">
        <v>32</v>
      </c>
      <c r="N205" s="3">
        <v>0</v>
      </c>
      <c r="O205" s="2" t="s">
        <v>33</v>
      </c>
      <c r="P205" s="2" t="s">
        <v>304</v>
      </c>
      <c r="Q205" s="4">
        <v>46063</v>
      </c>
      <c r="R205" s="4">
        <v>46121</v>
      </c>
      <c r="S205" s="3">
        <v>8</v>
      </c>
      <c r="T205" s="5">
        <v>0</v>
      </c>
      <c r="U205" s="2" t="s">
        <v>58</v>
      </c>
      <c r="V205" s="5">
        <v>7909439.71</v>
      </c>
      <c r="W205" s="5">
        <v>0</v>
      </c>
      <c r="X205" s="5">
        <v>0</v>
      </c>
    </row>
    <row r="206" spans="1:24" outlineLevel="3">
      <c r="A206" s="2" t="s">
        <v>297</v>
      </c>
      <c r="B206" s="3">
        <v>900240333</v>
      </c>
      <c r="C206" s="3">
        <v>0</v>
      </c>
      <c r="D206" s="2" t="s">
        <v>298</v>
      </c>
      <c r="E206" s="2">
        <v>7424228</v>
      </c>
      <c r="F206" s="2" t="s">
        <v>299</v>
      </c>
      <c r="G206" s="2" t="s">
        <v>38</v>
      </c>
      <c r="H206" s="2" t="s">
        <v>28</v>
      </c>
      <c r="I206" s="2" t="s">
        <v>11</v>
      </c>
      <c r="J206" s="2" t="s">
        <v>65</v>
      </c>
      <c r="K206" s="2" t="s">
        <v>47</v>
      </c>
      <c r="L206" s="2" t="s">
        <v>48</v>
      </c>
      <c r="M206" s="2" t="s">
        <v>32</v>
      </c>
      <c r="N206" s="3">
        <v>0</v>
      </c>
      <c r="O206" s="2" t="s">
        <v>33</v>
      </c>
      <c r="P206" s="2" t="s">
        <v>305</v>
      </c>
      <c r="Q206" s="4">
        <v>46070</v>
      </c>
      <c r="R206" s="4">
        <v>46128</v>
      </c>
      <c r="S206" s="3">
        <v>15</v>
      </c>
      <c r="T206" s="5">
        <v>0</v>
      </c>
      <c r="U206" s="2" t="s">
        <v>58</v>
      </c>
      <c r="V206" s="5">
        <v>1683582.63</v>
      </c>
      <c r="W206" s="5">
        <v>0</v>
      </c>
      <c r="X206" s="5">
        <v>0</v>
      </c>
    </row>
    <row r="207" spans="1:24" outlineLevel="3">
      <c r="A207" s="2" t="s">
        <v>297</v>
      </c>
      <c r="B207" s="3">
        <v>900240333</v>
      </c>
      <c r="C207" s="3">
        <v>0</v>
      </c>
      <c r="D207" s="2" t="s">
        <v>298</v>
      </c>
      <c r="E207" s="2">
        <v>7424228</v>
      </c>
      <c r="F207" s="2" t="s">
        <v>299</v>
      </c>
      <c r="G207" s="2" t="s">
        <v>38</v>
      </c>
      <c r="H207" s="2" t="s">
        <v>28</v>
      </c>
      <c r="I207" s="2" t="s">
        <v>11</v>
      </c>
      <c r="J207" s="2" t="s">
        <v>67</v>
      </c>
      <c r="K207" s="2" t="s">
        <v>47</v>
      </c>
      <c r="L207" s="2" t="s">
        <v>48</v>
      </c>
      <c r="M207" s="2" t="s">
        <v>32</v>
      </c>
      <c r="N207" s="3">
        <v>0</v>
      </c>
      <c r="O207" s="2" t="s">
        <v>33</v>
      </c>
      <c r="P207" s="2" t="s">
        <v>306</v>
      </c>
      <c r="Q207" s="4">
        <v>46072</v>
      </c>
      <c r="R207" s="4">
        <v>46130</v>
      </c>
      <c r="S207" s="3">
        <v>17</v>
      </c>
      <c r="T207" s="5">
        <v>0</v>
      </c>
      <c r="U207" s="2" t="s">
        <v>58</v>
      </c>
      <c r="V207" s="5">
        <v>5678896.79</v>
      </c>
      <c r="W207" s="5">
        <v>0</v>
      </c>
      <c r="X207" s="5">
        <v>0</v>
      </c>
    </row>
    <row r="208" spans="1:24" outlineLevel="3">
      <c r="A208" s="2" t="s">
        <v>297</v>
      </c>
      <c r="B208" s="3">
        <v>900240333</v>
      </c>
      <c r="C208" s="3">
        <v>0</v>
      </c>
      <c r="D208" s="2" t="s">
        <v>298</v>
      </c>
      <c r="E208" s="2">
        <v>7424228</v>
      </c>
      <c r="F208" s="2" t="s">
        <v>299</v>
      </c>
      <c r="G208" s="2" t="s">
        <v>38</v>
      </c>
      <c r="H208" s="2" t="s">
        <v>28</v>
      </c>
      <c r="I208" s="2" t="s">
        <v>11</v>
      </c>
      <c r="J208" s="2" t="s">
        <v>67</v>
      </c>
      <c r="K208" s="2" t="s">
        <v>47</v>
      </c>
      <c r="L208" s="2" t="s">
        <v>48</v>
      </c>
      <c r="M208" s="2" t="s">
        <v>32</v>
      </c>
      <c r="N208" s="3">
        <v>0</v>
      </c>
      <c r="O208" s="2" t="s">
        <v>33</v>
      </c>
      <c r="P208" s="2" t="s">
        <v>307</v>
      </c>
      <c r="Q208" s="4">
        <v>46078</v>
      </c>
      <c r="R208" s="4">
        <v>46136</v>
      </c>
      <c r="S208" s="3">
        <v>23</v>
      </c>
      <c r="T208" s="5">
        <v>0</v>
      </c>
      <c r="U208" s="2" t="s">
        <v>58</v>
      </c>
      <c r="V208" s="5">
        <v>584883.81000000006</v>
      </c>
      <c r="W208" s="5">
        <v>0</v>
      </c>
      <c r="X208" s="5">
        <v>0</v>
      </c>
    </row>
    <row r="209" spans="1:24" outlineLevel="3">
      <c r="A209" s="2" t="s">
        <v>297</v>
      </c>
      <c r="B209" s="3">
        <v>900240333</v>
      </c>
      <c r="C209" s="3">
        <v>0</v>
      </c>
      <c r="D209" s="2" t="s">
        <v>298</v>
      </c>
      <c r="E209" s="2">
        <v>7424228</v>
      </c>
      <c r="F209" s="2" t="s">
        <v>299</v>
      </c>
      <c r="G209" s="2" t="s">
        <v>38</v>
      </c>
      <c r="H209" s="2" t="s">
        <v>28</v>
      </c>
      <c r="I209" s="2" t="s">
        <v>11</v>
      </c>
      <c r="J209" s="2" t="s">
        <v>67</v>
      </c>
      <c r="K209" s="2" t="s">
        <v>47</v>
      </c>
      <c r="L209" s="2" t="s">
        <v>48</v>
      </c>
      <c r="M209" s="2" t="s">
        <v>32</v>
      </c>
      <c r="N209" s="3">
        <v>0</v>
      </c>
      <c r="O209" s="2" t="s">
        <v>33</v>
      </c>
      <c r="P209" s="2" t="s">
        <v>308</v>
      </c>
      <c r="Q209" s="4">
        <v>46098</v>
      </c>
      <c r="R209" s="4">
        <v>46158</v>
      </c>
      <c r="S209" s="3">
        <v>45</v>
      </c>
      <c r="T209" s="5">
        <v>0</v>
      </c>
      <c r="U209" s="2" t="s">
        <v>58</v>
      </c>
      <c r="V209" s="5">
        <v>8815249.2899999991</v>
      </c>
      <c r="W209" s="5">
        <v>0</v>
      </c>
      <c r="X209" s="5">
        <v>0</v>
      </c>
    </row>
    <row r="210" spans="1:24" outlineLevel="3">
      <c r="A210" s="2" t="s">
        <v>297</v>
      </c>
      <c r="B210" s="3">
        <v>900240333</v>
      </c>
      <c r="C210" s="3">
        <v>0</v>
      </c>
      <c r="D210" s="2" t="s">
        <v>298</v>
      </c>
      <c r="E210" s="2">
        <v>7424228</v>
      </c>
      <c r="F210" s="2" t="s">
        <v>299</v>
      </c>
      <c r="G210" s="2" t="s">
        <v>38</v>
      </c>
      <c r="H210" s="2" t="s">
        <v>28</v>
      </c>
      <c r="I210" s="2" t="s">
        <v>11</v>
      </c>
      <c r="J210" s="2" t="s">
        <v>67</v>
      </c>
      <c r="K210" s="2" t="s">
        <v>47</v>
      </c>
      <c r="L210" s="2" t="s">
        <v>48</v>
      </c>
      <c r="M210" s="2" t="s">
        <v>32</v>
      </c>
      <c r="N210" s="3">
        <v>0</v>
      </c>
      <c r="O210" s="2" t="s">
        <v>33</v>
      </c>
      <c r="P210" s="2" t="s">
        <v>309</v>
      </c>
      <c r="Q210" s="4">
        <v>46107</v>
      </c>
      <c r="R210" s="4">
        <v>46167</v>
      </c>
      <c r="S210" s="3">
        <v>54</v>
      </c>
      <c r="T210" s="5">
        <v>0</v>
      </c>
      <c r="U210" s="2" t="s">
        <v>58</v>
      </c>
      <c r="V210" s="5">
        <v>1148807.56</v>
      </c>
      <c r="W210" s="5">
        <v>0</v>
      </c>
      <c r="X210" s="5">
        <v>0</v>
      </c>
    </row>
    <row r="211" spans="1:24" outlineLevel="2">
      <c r="M211" s="14" t="s">
        <v>742</v>
      </c>
      <c r="T211" s="5">
        <f>SUBTOTAL(9,T201:T210)</f>
        <v>0</v>
      </c>
      <c r="V211" s="5">
        <f>SUBTOTAL(9,V201:V210)</f>
        <v>25820859.789999995</v>
      </c>
      <c r="W211" s="5">
        <f>SUBTOTAL(9,W201:W210)</f>
        <v>0</v>
      </c>
    </row>
    <row r="212" spans="1:24" outlineLevel="1">
      <c r="A212" s="14" t="s">
        <v>707</v>
      </c>
      <c r="T212" s="5">
        <f>SUBTOTAL(9,T201:T210)</f>
        <v>0</v>
      </c>
      <c r="V212" s="5">
        <f>SUBTOTAL(9,V201:V210)</f>
        <v>25820859.789999995</v>
      </c>
      <c r="W212" s="5">
        <f>SUBTOTAL(9,W201:W210)</f>
        <v>0</v>
      </c>
    </row>
    <row r="213" spans="1:24" outlineLevel="3">
      <c r="A213" s="2" t="s">
        <v>310</v>
      </c>
      <c r="B213" s="3">
        <v>900265795</v>
      </c>
      <c r="C213" s="3">
        <v>0</v>
      </c>
      <c r="D213" s="2" t="s">
        <v>311</v>
      </c>
      <c r="E213" s="2">
        <v>4489188</v>
      </c>
      <c r="F213" s="2" t="s">
        <v>312</v>
      </c>
      <c r="G213" s="2" t="s">
        <v>38</v>
      </c>
      <c r="H213" s="2" t="s">
        <v>28</v>
      </c>
      <c r="I213" s="2" t="s">
        <v>11</v>
      </c>
      <c r="J213" s="2" t="s">
        <v>106</v>
      </c>
      <c r="K213" s="2" t="s">
        <v>85</v>
      </c>
      <c r="L213" s="2" t="s">
        <v>86</v>
      </c>
      <c r="M213" s="2" t="s">
        <v>32</v>
      </c>
      <c r="N213" s="3">
        <v>0</v>
      </c>
      <c r="O213" s="2" t="s">
        <v>33</v>
      </c>
      <c r="P213" s="2" t="s">
        <v>313</v>
      </c>
      <c r="Q213" s="4">
        <v>46055</v>
      </c>
      <c r="R213" s="4">
        <v>46113</v>
      </c>
      <c r="S213" s="3">
        <v>0</v>
      </c>
      <c r="T213" s="5">
        <v>0</v>
      </c>
      <c r="U213" s="2" t="s">
        <v>20</v>
      </c>
      <c r="V213" s="5">
        <v>1768807.84</v>
      </c>
      <c r="W213" s="5">
        <v>0</v>
      </c>
      <c r="X213" s="5">
        <v>0</v>
      </c>
    </row>
    <row r="214" spans="1:24" outlineLevel="3">
      <c r="A214" s="2" t="s">
        <v>310</v>
      </c>
      <c r="B214" s="3">
        <v>900265795</v>
      </c>
      <c r="C214" s="3">
        <v>0</v>
      </c>
      <c r="D214" s="2" t="s">
        <v>311</v>
      </c>
      <c r="E214" s="2">
        <v>4489188</v>
      </c>
      <c r="F214" s="2" t="s">
        <v>312</v>
      </c>
      <c r="G214" s="2" t="s">
        <v>38</v>
      </c>
      <c r="H214" s="2" t="s">
        <v>28</v>
      </c>
      <c r="I214" s="2" t="s">
        <v>11</v>
      </c>
      <c r="J214" s="2" t="s">
        <v>106</v>
      </c>
      <c r="K214" s="2" t="s">
        <v>85</v>
      </c>
      <c r="L214" s="2" t="s">
        <v>86</v>
      </c>
      <c r="M214" s="2" t="s">
        <v>32</v>
      </c>
      <c r="N214" s="3">
        <v>0</v>
      </c>
      <c r="O214" s="2" t="s">
        <v>33</v>
      </c>
      <c r="P214" s="2" t="s">
        <v>314</v>
      </c>
      <c r="Q214" s="4">
        <v>46079</v>
      </c>
      <c r="R214" s="4">
        <v>46137</v>
      </c>
      <c r="S214" s="3">
        <v>24</v>
      </c>
      <c r="T214" s="5">
        <v>0</v>
      </c>
      <c r="U214" s="2" t="s">
        <v>58</v>
      </c>
      <c r="V214" s="5">
        <v>2807417</v>
      </c>
      <c r="W214" s="5">
        <v>0</v>
      </c>
      <c r="X214" s="5">
        <v>0</v>
      </c>
    </row>
    <row r="215" spans="1:24" outlineLevel="3">
      <c r="A215" s="2" t="s">
        <v>310</v>
      </c>
      <c r="B215" s="3">
        <v>900265795</v>
      </c>
      <c r="C215" s="3">
        <v>0</v>
      </c>
      <c r="D215" s="2" t="s">
        <v>311</v>
      </c>
      <c r="E215" s="2">
        <v>4489188</v>
      </c>
      <c r="F215" s="2" t="s">
        <v>312</v>
      </c>
      <c r="G215" s="2" t="s">
        <v>38</v>
      </c>
      <c r="H215" s="2" t="s">
        <v>28</v>
      </c>
      <c r="I215" s="2" t="s">
        <v>11</v>
      </c>
      <c r="J215" s="2" t="s">
        <v>106</v>
      </c>
      <c r="K215" s="2" t="s">
        <v>85</v>
      </c>
      <c r="L215" s="2" t="s">
        <v>86</v>
      </c>
      <c r="M215" s="2" t="s">
        <v>32</v>
      </c>
      <c r="N215" s="3">
        <v>0</v>
      </c>
      <c r="O215" s="2" t="s">
        <v>33</v>
      </c>
      <c r="P215" s="2" t="s">
        <v>315</v>
      </c>
      <c r="Q215" s="4">
        <v>46084</v>
      </c>
      <c r="R215" s="4">
        <v>46144</v>
      </c>
      <c r="S215" s="3">
        <v>31</v>
      </c>
      <c r="T215" s="5">
        <v>0</v>
      </c>
      <c r="U215" s="2" t="s">
        <v>58</v>
      </c>
      <c r="V215" s="5">
        <v>2789114.85</v>
      </c>
      <c r="W215" s="5">
        <v>0</v>
      </c>
      <c r="X215" s="5">
        <v>0</v>
      </c>
    </row>
    <row r="216" spans="1:24" outlineLevel="3">
      <c r="A216" s="2" t="s">
        <v>310</v>
      </c>
      <c r="B216" s="3">
        <v>900265795</v>
      </c>
      <c r="C216" s="3">
        <v>0</v>
      </c>
      <c r="D216" s="2" t="s">
        <v>311</v>
      </c>
      <c r="E216" s="2">
        <v>4489188</v>
      </c>
      <c r="F216" s="2" t="s">
        <v>312</v>
      </c>
      <c r="G216" s="2" t="s">
        <v>38</v>
      </c>
      <c r="H216" s="2" t="s">
        <v>28</v>
      </c>
      <c r="I216" s="2" t="s">
        <v>11</v>
      </c>
      <c r="J216" s="2" t="s">
        <v>106</v>
      </c>
      <c r="K216" s="2" t="s">
        <v>85</v>
      </c>
      <c r="L216" s="2" t="s">
        <v>86</v>
      </c>
      <c r="M216" s="2" t="s">
        <v>32</v>
      </c>
      <c r="N216" s="3">
        <v>0</v>
      </c>
      <c r="O216" s="2" t="s">
        <v>33</v>
      </c>
      <c r="P216" s="2" t="s">
        <v>316</v>
      </c>
      <c r="Q216" s="4">
        <v>46092</v>
      </c>
      <c r="R216" s="4">
        <v>46152</v>
      </c>
      <c r="S216" s="3">
        <v>39</v>
      </c>
      <c r="T216" s="5">
        <v>0</v>
      </c>
      <c r="U216" s="2" t="s">
        <v>58</v>
      </c>
      <c r="V216" s="5">
        <v>12353514.359999999</v>
      </c>
      <c r="W216" s="5">
        <v>0</v>
      </c>
      <c r="X216" s="5">
        <v>0</v>
      </c>
    </row>
    <row r="217" spans="1:24" outlineLevel="3">
      <c r="A217" s="2" t="s">
        <v>310</v>
      </c>
      <c r="B217" s="3">
        <v>900265795</v>
      </c>
      <c r="C217" s="3">
        <v>0</v>
      </c>
      <c r="D217" s="2" t="s">
        <v>311</v>
      </c>
      <c r="E217" s="2">
        <v>4489188</v>
      </c>
      <c r="F217" s="2" t="s">
        <v>312</v>
      </c>
      <c r="G217" s="2" t="s">
        <v>38</v>
      </c>
      <c r="H217" s="2" t="s">
        <v>28</v>
      </c>
      <c r="I217" s="2" t="s">
        <v>11</v>
      </c>
      <c r="J217" s="2" t="s">
        <v>106</v>
      </c>
      <c r="K217" s="2" t="s">
        <v>85</v>
      </c>
      <c r="L217" s="2" t="s">
        <v>86</v>
      </c>
      <c r="M217" s="2" t="s">
        <v>32</v>
      </c>
      <c r="N217" s="3">
        <v>0</v>
      </c>
      <c r="O217" s="2" t="s">
        <v>33</v>
      </c>
      <c r="P217" s="2" t="s">
        <v>317</v>
      </c>
      <c r="Q217" s="4">
        <v>46097</v>
      </c>
      <c r="R217" s="4">
        <v>46157</v>
      </c>
      <c r="S217" s="3">
        <v>44</v>
      </c>
      <c r="T217" s="5">
        <v>0</v>
      </c>
      <c r="U217" s="2" t="s">
        <v>58</v>
      </c>
      <c r="V217" s="5">
        <v>2321151.8199999998</v>
      </c>
      <c r="W217" s="5">
        <v>0</v>
      </c>
      <c r="X217" s="5">
        <v>0</v>
      </c>
    </row>
    <row r="218" spans="1:24" outlineLevel="2">
      <c r="M218" s="14" t="s">
        <v>742</v>
      </c>
      <c r="T218" s="5">
        <f>SUBTOTAL(9,T213:T217)</f>
        <v>0</v>
      </c>
      <c r="V218" s="5">
        <f>SUBTOTAL(9,V213:V217)</f>
        <v>22040005.869999997</v>
      </c>
      <c r="W218" s="5">
        <f>SUBTOTAL(9,W213:W217)</f>
        <v>0</v>
      </c>
    </row>
    <row r="219" spans="1:24" outlineLevel="1">
      <c r="A219" s="14" t="s">
        <v>708</v>
      </c>
      <c r="T219" s="5">
        <f>SUBTOTAL(9,T213:T217)</f>
        <v>0</v>
      </c>
      <c r="V219" s="5">
        <f>SUBTOTAL(9,V213:V217)</f>
        <v>22040005.869999997</v>
      </c>
      <c r="W219" s="5">
        <f>SUBTOTAL(9,W213:W217)</f>
        <v>0</v>
      </c>
    </row>
    <row r="220" spans="1:24" outlineLevel="3">
      <c r="A220" s="2" t="s">
        <v>318</v>
      </c>
      <c r="B220" s="3">
        <v>900307659</v>
      </c>
      <c r="C220" s="3">
        <v>0</v>
      </c>
      <c r="D220" s="2" t="s">
        <v>319</v>
      </c>
      <c r="E220" s="2">
        <v>2814407</v>
      </c>
      <c r="F220" s="2" t="s">
        <v>320</v>
      </c>
      <c r="G220" s="2" t="s">
        <v>38</v>
      </c>
      <c r="H220" s="2" t="s">
        <v>28</v>
      </c>
      <c r="I220" s="2" t="s">
        <v>11</v>
      </c>
      <c r="J220" s="2" t="s">
        <v>67</v>
      </c>
      <c r="K220" s="2" t="s">
        <v>47</v>
      </c>
      <c r="L220" s="2" t="s">
        <v>48</v>
      </c>
      <c r="M220" s="2" t="s">
        <v>32</v>
      </c>
      <c r="N220" s="3">
        <v>0</v>
      </c>
      <c r="O220" s="2" t="s">
        <v>33</v>
      </c>
      <c r="P220" s="2" t="s">
        <v>321</v>
      </c>
      <c r="Q220" s="4">
        <v>46044</v>
      </c>
      <c r="R220" s="4">
        <v>46102</v>
      </c>
      <c r="S220" s="3">
        <v>-10</v>
      </c>
      <c r="T220" s="5">
        <v>0</v>
      </c>
      <c r="U220" s="2" t="s">
        <v>20</v>
      </c>
      <c r="V220" s="5">
        <v>1984926.6</v>
      </c>
      <c r="W220" s="5">
        <v>1984926.6</v>
      </c>
      <c r="X220" s="5">
        <v>1984926.6</v>
      </c>
    </row>
    <row r="221" spans="1:24" outlineLevel="3">
      <c r="A221" s="2" t="s">
        <v>318</v>
      </c>
      <c r="B221" s="3">
        <v>900307659</v>
      </c>
      <c r="C221" s="3">
        <v>0</v>
      </c>
      <c r="D221" s="2" t="s">
        <v>319</v>
      </c>
      <c r="E221" s="2">
        <v>2814407</v>
      </c>
      <c r="F221" s="2" t="s">
        <v>320</v>
      </c>
      <c r="G221" s="2" t="s">
        <v>38</v>
      </c>
      <c r="H221" s="2" t="s">
        <v>28</v>
      </c>
      <c r="I221" s="2" t="s">
        <v>11</v>
      </c>
      <c r="J221" s="2" t="s">
        <v>67</v>
      </c>
      <c r="K221" s="2" t="s">
        <v>47</v>
      </c>
      <c r="L221" s="2" t="s">
        <v>48</v>
      </c>
      <c r="M221" s="2" t="s">
        <v>32</v>
      </c>
      <c r="N221" s="3">
        <v>0</v>
      </c>
      <c r="O221" s="2" t="s">
        <v>33</v>
      </c>
      <c r="P221" s="2" t="s">
        <v>322</v>
      </c>
      <c r="Q221" s="4">
        <v>46049</v>
      </c>
      <c r="R221" s="4">
        <v>46107</v>
      </c>
      <c r="S221" s="3">
        <v>-5</v>
      </c>
      <c r="T221" s="5">
        <v>0</v>
      </c>
      <c r="U221" s="2" t="s">
        <v>20</v>
      </c>
      <c r="V221" s="5">
        <v>2231706.71</v>
      </c>
      <c r="W221" s="5">
        <v>2231706.71</v>
      </c>
      <c r="X221" s="5">
        <v>4216633.3099999996</v>
      </c>
    </row>
    <row r="222" spans="1:24" outlineLevel="3">
      <c r="A222" s="2" t="s">
        <v>318</v>
      </c>
      <c r="B222" s="3">
        <v>900307659</v>
      </c>
      <c r="C222" s="3">
        <v>0</v>
      </c>
      <c r="D222" s="2" t="s">
        <v>319</v>
      </c>
      <c r="E222" s="2">
        <v>2814407</v>
      </c>
      <c r="F222" s="2" t="s">
        <v>320</v>
      </c>
      <c r="G222" s="2" t="s">
        <v>38</v>
      </c>
      <c r="H222" s="2" t="s">
        <v>28</v>
      </c>
      <c r="I222" s="2" t="s">
        <v>11</v>
      </c>
      <c r="J222" s="2" t="s">
        <v>67</v>
      </c>
      <c r="K222" s="2" t="s">
        <v>47</v>
      </c>
      <c r="L222" s="2" t="s">
        <v>48</v>
      </c>
      <c r="M222" s="2" t="s">
        <v>32</v>
      </c>
      <c r="N222" s="3">
        <v>0</v>
      </c>
      <c r="O222" s="2" t="s">
        <v>33</v>
      </c>
      <c r="P222" s="2" t="s">
        <v>323</v>
      </c>
      <c r="Q222" s="4">
        <v>46049</v>
      </c>
      <c r="R222" s="4">
        <v>46107</v>
      </c>
      <c r="S222" s="3">
        <v>-5</v>
      </c>
      <c r="T222" s="5">
        <v>0</v>
      </c>
      <c r="U222" s="2" t="s">
        <v>20</v>
      </c>
      <c r="V222" s="5">
        <v>2339665.4300000002</v>
      </c>
      <c r="W222" s="5">
        <v>2339665.4300000002</v>
      </c>
      <c r="X222" s="5">
        <v>6556298.7400000002</v>
      </c>
    </row>
    <row r="223" spans="1:24" outlineLevel="3">
      <c r="A223" s="2" t="s">
        <v>318</v>
      </c>
      <c r="B223" s="3">
        <v>900307659</v>
      </c>
      <c r="C223" s="3">
        <v>0</v>
      </c>
      <c r="D223" s="2" t="s">
        <v>319</v>
      </c>
      <c r="E223" s="2">
        <v>2814407</v>
      </c>
      <c r="F223" s="2" t="s">
        <v>320</v>
      </c>
      <c r="G223" s="2" t="s">
        <v>38</v>
      </c>
      <c r="H223" s="2" t="s">
        <v>28</v>
      </c>
      <c r="I223" s="2" t="s">
        <v>11</v>
      </c>
      <c r="J223" s="2" t="s">
        <v>67</v>
      </c>
      <c r="K223" s="2" t="s">
        <v>47</v>
      </c>
      <c r="L223" s="2" t="s">
        <v>48</v>
      </c>
      <c r="M223" s="2" t="s">
        <v>32</v>
      </c>
      <c r="N223" s="3">
        <v>0</v>
      </c>
      <c r="O223" s="2" t="s">
        <v>33</v>
      </c>
      <c r="P223" s="2" t="s">
        <v>324</v>
      </c>
      <c r="Q223" s="4">
        <v>46070</v>
      </c>
      <c r="R223" s="4">
        <v>46128</v>
      </c>
      <c r="S223" s="3">
        <v>15</v>
      </c>
      <c r="T223" s="5">
        <v>0</v>
      </c>
      <c r="U223" s="2" t="s">
        <v>58</v>
      </c>
      <c r="V223" s="5">
        <v>1519188.34</v>
      </c>
      <c r="W223" s="5">
        <v>0</v>
      </c>
      <c r="X223" s="5">
        <v>6556298.7400000002</v>
      </c>
    </row>
    <row r="224" spans="1:24" outlineLevel="3">
      <c r="A224" s="2" t="s">
        <v>318</v>
      </c>
      <c r="B224" s="3">
        <v>900307659</v>
      </c>
      <c r="C224" s="3">
        <v>0</v>
      </c>
      <c r="D224" s="2" t="s">
        <v>319</v>
      </c>
      <c r="E224" s="2">
        <v>2814407</v>
      </c>
      <c r="F224" s="2" t="s">
        <v>320</v>
      </c>
      <c r="G224" s="2" t="s">
        <v>38</v>
      </c>
      <c r="H224" s="2" t="s">
        <v>28</v>
      </c>
      <c r="I224" s="2" t="s">
        <v>11</v>
      </c>
      <c r="J224" s="2" t="s">
        <v>67</v>
      </c>
      <c r="K224" s="2" t="s">
        <v>47</v>
      </c>
      <c r="L224" s="2" t="s">
        <v>48</v>
      </c>
      <c r="M224" s="2" t="s">
        <v>32</v>
      </c>
      <c r="N224" s="3">
        <v>0</v>
      </c>
      <c r="O224" s="2" t="s">
        <v>33</v>
      </c>
      <c r="P224" s="2" t="s">
        <v>325</v>
      </c>
      <c r="Q224" s="4">
        <v>46076</v>
      </c>
      <c r="R224" s="4">
        <v>46134</v>
      </c>
      <c r="S224" s="3">
        <v>21</v>
      </c>
      <c r="T224" s="5">
        <v>0</v>
      </c>
      <c r="U224" s="2" t="s">
        <v>58</v>
      </c>
      <c r="V224" s="5">
        <v>607340.30000000005</v>
      </c>
      <c r="W224" s="5">
        <v>0</v>
      </c>
      <c r="X224" s="5">
        <v>6556298.7400000002</v>
      </c>
    </row>
    <row r="225" spans="1:24" outlineLevel="3">
      <c r="A225" s="2" t="s">
        <v>318</v>
      </c>
      <c r="B225" s="3">
        <v>900307659</v>
      </c>
      <c r="C225" s="3">
        <v>0</v>
      </c>
      <c r="D225" s="2" t="s">
        <v>319</v>
      </c>
      <c r="E225" s="2">
        <v>2814407</v>
      </c>
      <c r="F225" s="2" t="s">
        <v>320</v>
      </c>
      <c r="G225" s="2" t="s">
        <v>38</v>
      </c>
      <c r="H225" s="2" t="s">
        <v>28</v>
      </c>
      <c r="I225" s="2" t="s">
        <v>11</v>
      </c>
      <c r="J225" s="2" t="s">
        <v>67</v>
      </c>
      <c r="K225" s="2" t="s">
        <v>47</v>
      </c>
      <c r="L225" s="2" t="s">
        <v>48</v>
      </c>
      <c r="M225" s="2" t="s">
        <v>32</v>
      </c>
      <c r="N225" s="3">
        <v>0</v>
      </c>
      <c r="O225" s="2" t="s">
        <v>33</v>
      </c>
      <c r="P225" s="2" t="s">
        <v>326</v>
      </c>
      <c r="Q225" s="4">
        <v>46100</v>
      </c>
      <c r="R225" s="4">
        <v>46160</v>
      </c>
      <c r="S225" s="3">
        <v>47</v>
      </c>
      <c r="T225" s="5">
        <v>0</v>
      </c>
      <c r="U225" s="2" t="s">
        <v>58</v>
      </c>
      <c r="V225" s="5">
        <v>2551428.64</v>
      </c>
      <c r="W225" s="5">
        <v>0</v>
      </c>
      <c r="X225" s="5">
        <v>6556298.7400000002</v>
      </c>
    </row>
    <row r="226" spans="1:24" outlineLevel="3">
      <c r="A226" s="2" t="s">
        <v>318</v>
      </c>
      <c r="B226" s="3">
        <v>900307659</v>
      </c>
      <c r="C226" s="3">
        <v>0</v>
      </c>
      <c r="D226" s="2" t="s">
        <v>319</v>
      </c>
      <c r="E226" s="2">
        <v>2814407</v>
      </c>
      <c r="F226" s="2" t="s">
        <v>320</v>
      </c>
      <c r="G226" s="2" t="s">
        <v>38</v>
      </c>
      <c r="H226" s="2" t="s">
        <v>28</v>
      </c>
      <c r="I226" s="2" t="s">
        <v>11</v>
      </c>
      <c r="J226" s="2" t="s">
        <v>67</v>
      </c>
      <c r="K226" s="2" t="s">
        <v>47</v>
      </c>
      <c r="L226" s="2" t="s">
        <v>48</v>
      </c>
      <c r="M226" s="2" t="s">
        <v>32</v>
      </c>
      <c r="N226" s="3">
        <v>0</v>
      </c>
      <c r="O226" s="2" t="s">
        <v>33</v>
      </c>
      <c r="P226" s="2" t="s">
        <v>327</v>
      </c>
      <c r="Q226" s="4">
        <v>46100</v>
      </c>
      <c r="R226" s="4">
        <v>46160</v>
      </c>
      <c r="S226" s="3">
        <v>47</v>
      </c>
      <c r="T226" s="5">
        <v>0</v>
      </c>
      <c r="U226" s="2" t="s">
        <v>58</v>
      </c>
      <c r="V226" s="5">
        <v>1777138.78</v>
      </c>
      <c r="W226" s="5">
        <v>0</v>
      </c>
      <c r="X226" s="5">
        <v>6556298.7400000002</v>
      </c>
    </row>
    <row r="227" spans="1:24" outlineLevel="2">
      <c r="M227" s="14" t="s">
        <v>742</v>
      </c>
      <c r="T227" s="5">
        <f>SUBTOTAL(9,T220:T226)</f>
        <v>0</v>
      </c>
      <c r="V227" s="5">
        <f>SUBTOTAL(9,V220:V226)</f>
        <v>13011394.800000001</v>
      </c>
      <c r="W227" s="5">
        <f>SUBTOTAL(9,W220:W226)</f>
        <v>6556298.7400000002</v>
      </c>
    </row>
    <row r="228" spans="1:24" outlineLevel="1">
      <c r="A228" s="14" t="s">
        <v>709</v>
      </c>
      <c r="T228" s="5">
        <f>SUBTOTAL(9,T220:T226)</f>
        <v>0</v>
      </c>
      <c r="V228" s="5">
        <f>SUBTOTAL(9,V220:V226)</f>
        <v>13011394.800000001</v>
      </c>
      <c r="W228" s="5">
        <f>SUBTOTAL(9,W220:W226)</f>
        <v>6556298.7400000002</v>
      </c>
    </row>
    <row r="229" spans="1:24" outlineLevel="3">
      <c r="A229" s="2" t="s">
        <v>328</v>
      </c>
      <c r="B229" s="3">
        <v>900324176</v>
      </c>
      <c r="C229" s="3">
        <v>0</v>
      </c>
      <c r="D229" s="2" t="s">
        <v>329</v>
      </c>
      <c r="E229" s="2">
        <v>4328124</v>
      </c>
      <c r="F229" s="2" t="s">
        <v>330</v>
      </c>
      <c r="G229" s="2" t="s">
        <v>331</v>
      </c>
      <c r="H229" s="2" t="s">
        <v>28</v>
      </c>
      <c r="I229" s="2" t="s">
        <v>11</v>
      </c>
      <c r="J229" s="2" t="s">
        <v>67</v>
      </c>
      <c r="K229" s="2" t="s">
        <v>47</v>
      </c>
      <c r="L229" s="2" t="s">
        <v>48</v>
      </c>
      <c r="M229" s="2" t="s">
        <v>32</v>
      </c>
      <c r="N229" s="3">
        <v>0</v>
      </c>
      <c r="O229" s="2" t="s">
        <v>33</v>
      </c>
      <c r="P229" s="2" t="s">
        <v>332</v>
      </c>
      <c r="Q229" s="4">
        <v>46049</v>
      </c>
      <c r="R229" s="4">
        <v>46107</v>
      </c>
      <c r="S229" s="3">
        <v>-5</v>
      </c>
      <c r="T229" s="5">
        <v>0</v>
      </c>
      <c r="U229" s="2" t="s">
        <v>20</v>
      </c>
      <c r="V229" s="5">
        <v>157845285</v>
      </c>
      <c r="W229" s="5">
        <v>157845285</v>
      </c>
      <c r="X229" s="5">
        <v>157845285</v>
      </c>
    </row>
    <row r="230" spans="1:24" outlineLevel="3">
      <c r="A230" s="2" t="s">
        <v>328</v>
      </c>
      <c r="B230" s="3">
        <v>900324176</v>
      </c>
      <c r="C230" s="3">
        <v>0</v>
      </c>
      <c r="D230" s="2" t="s">
        <v>329</v>
      </c>
      <c r="E230" s="2">
        <v>4328124</v>
      </c>
      <c r="F230" s="2" t="s">
        <v>330</v>
      </c>
      <c r="G230" s="2" t="s">
        <v>331</v>
      </c>
      <c r="H230" s="2" t="s">
        <v>28</v>
      </c>
      <c r="I230" s="2" t="s">
        <v>11</v>
      </c>
      <c r="J230" s="2" t="s">
        <v>67</v>
      </c>
      <c r="K230" s="2" t="s">
        <v>47</v>
      </c>
      <c r="L230" s="2" t="s">
        <v>48</v>
      </c>
      <c r="M230" s="2" t="s">
        <v>32</v>
      </c>
      <c r="N230" s="3">
        <v>0</v>
      </c>
      <c r="O230" s="2" t="s">
        <v>33</v>
      </c>
      <c r="P230" s="2" t="s">
        <v>333</v>
      </c>
      <c r="Q230" s="4">
        <v>46077</v>
      </c>
      <c r="R230" s="4">
        <v>46135</v>
      </c>
      <c r="S230" s="3">
        <v>22</v>
      </c>
      <c r="T230" s="5">
        <v>0</v>
      </c>
      <c r="U230" s="2" t="s">
        <v>58</v>
      </c>
      <c r="V230" s="5">
        <v>116799345</v>
      </c>
      <c r="W230" s="5">
        <v>0</v>
      </c>
      <c r="X230" s="5">
        <v>157845285</v>
      </c>
    </row>
    <row r="231" spans="1:24" outlineLevel="3">
      <c r="A231" s="2" t="s">
        <v>328</v>
      </c>
      <c r="B231" s="3">
        <v>900324176</v>
      </c>
      <c r="C231" s="3">
        <v>0</v>
      </c>
      <c r="D231" s="2" t="s">
        <v>329</v>
      </c>
      <c r="E231" s="2">
        <v>4328124</v>
      </c>
      <c r="F231" s="2" t="s">
        <v>330</v>
      </c>
      <c r="G231" s="2" t="s">
        <v>331</v>
      </c>
      <c r="H231" s="2" t="s">
        <v>28</v>
      </c>
      <c r="I231" s="2" t="s">
        <v>11</v>
      </c>
      <c r="J231" s="2" t="s">
        <v>67</v>
      </c>
      <c r="K231" s="2" t="s">
        <v>47</v>
      </c>
      <c r="L231" s="2" t="s">
        <v>48</v>
      </c>
      <c r="M231" s="2" t="s">
        <v>32</v>
      </c>
      <c r="N231" s="3">
        <v>0</v>
      </c>
      <c r="O231" s="2" t="s">
        <v>33</v>
      </c>
      <c r="P231" s="2" t="s">
        <v>334</v>
      </c>
      <c r="Q231" s="4">
        <v>46105</v>
      </c>
      <c r="R231" s="4">
        <v>46165</v>
      </c>
      <c r="S231" s="3">
        <v>52</v>
      </c>
      <c r="T231" s="5">
        <v>0</v>
      </c>
      <c r="U231" s="2" t="s">
        <v>58</v>
      </c>
      <c r="V231" s="5">
        <v>175323915</v>
      </c>
      <c r="W231" s="5">
        <v>0</v>
      </c>
      <c r="X231" s="5">
        <v>157845285</v>
      </c>
    </row>
    <row r="232" spans="1:24" outlineLevel="2">
      <c r="M232" s="14" t="s">
        <v>742</v>
      </c>
      <c r="T232" s="5">
        <f>SUBTOTAL(9,T229:T231)</f>
        <v>0</v>
      </c>
      <c r="V232" s="5">
        <f>SUBTOTAL(9,V229:V231)</f>
        <v>449968545</v>
      </c>
      <c r="W232" s="5">
        <f>SUBTOTAL(9,W229:W231)</f>
        <v>157845285</v>
      </c>
    </row>
    <row r="233" spans="1:24" outlineLevel="1">
      <c r="A233" s="14" t="s">
        <v>710</v>
      </c>
      <c r="T233" s="5">
        <f>SUBTOTAL(9,T229:T231)</f>
        <v>0</v>
      </c>
      <c r="V233" s="5">
        <f>SUBTOTAL(9,V229:V231)</f>
        <v>449968545</v>
      </c>
      <c r="W233" s="5">
        <f>SUBTOTAL(9,W229:W231)</f>
        <v>157845285</v>
      </c>
    </row>
    <row r="234" spans="1:24" outlineLevel="3">
      <c r="A234" s="2" t="s">
        <v>335</v>
      </c>
      <c r="B234" s="3">
        <v>900337711</v>
      </c>
      <c r="C234" s="3">
        <v>0</v>
      </c>
      <c r="D234" s="2" t="s">
        <v>336</v>
      </c>
      <c r="E234" s="2">
        <v>8764532</v>
      </c>
      <c r="F234" s="2" t="s">
        <v>337</v>
      </c>
      <c r="G234" s="2" t="s">
        <v>275</v>
      </c>
      <c r="H234" s="2" t="s">
        <v>28</v>
      </c>
      <c r="I234" s="2" t="s">
        <v>11</v>
      </c>
      <c r="J234" s="2" t="s">
        <v>67</v>
      </c>
      <c r="K234" s="2" t="s">
        <v>47</v>
      </c>
      <c r="L234" s="2" t="s">
        <v>48</v>
      </c>
      <c r="M234" s="2" t="s">
        <v>32</v>
      </c>
      <c r="N234" s="3">
        <v>0</v>
      </c>
      <c r="O234" s="2" t="s">
        <v>33</v>
      </c>
      <c r="P234" s="2" t="s">
        <v>338</v>
      </c>
      <c r="Q234" s="4">
        <v>46057</v>
      </c>
      <c r="R234" s="4">
        <v>46115</v>
      </c>
      <c r="S234" s="3">
        <v>2</v>
      </c>
      <c r="T234" s="5">
        <v>0</v>
      </c>
      <c r="U234" s="2" t="s">
        <v>58</v>
      </c>
      <c r="V234" s="5">
        <v>21048392.850000001</v>
      </c>
      <c r="W234" s="5">
        <v>0</v>
      </c>
      <c r="X234" s="5">
        <v>0</v>
      </c>
    </row>
    <row r="235" spans="1:24" outlineLevel="3">
      <c r="A235" s="2" t="s">
        <v>335</v>
      </c>
      <c r="B235" s="3">
        <v>900337711</v>
      </c>
      <c r="C235" s="3">
        <v>0</v>
      </c>
      <c r="D235" s="2" t="s">
        <v>336</v>
      </c>
      <c r="E235" s="2">
        <v>8764532</v>
      </c>
      <c r="F235" s="2" t="s">
        <v>337</v>
      </c>
      <c r="G235" s="2" t="s">
        <v>275</v>
      </c>
      <c r="H235" s="2" t="s">
        <v>28</v>
      </c>
      <c r="I235" s="2" t="s">
        <v>11</v>
      </c>
      <c r="J235" s="2" t="s">
        <v>67</v>
      </c>
      <c r="K235" s="2" t="s">
        <v>47</v>
      </c>
      <c r="L235" s="2" t="s">
        <v>48</v>
      </c>
      <c r="M235" s="2" t="s">
        <v>32</v>
      </c>
      <c r="N235" s="3">
        <v>0</v>
      </c>
      <c r="O235" s="2" t="s">
        <v>33</v>
      </c>
      <c r="P235" s="2" t="s">
        <v>339</v>
      </c>
      <c r="Q235" s="4">
        <v>46085</v>
      </c>
      <c r="R235" s="4">
        <v>46145</v>
      </c>
      <c r="S235" s="3">
        <v>32</v>
      </c>
      <c r="T235" s="5">
        <v>0</v>
      </c>
      <c r="U235" s="2" t="s">
        <v>58</v>
      </c>
      <c r="V235" s="5">
        <v>2218323.1</v>
      </c>
      <c r="W235" s="5">
        <v>0</v>
      </c>
      <c r="X235" s="5">
        <v>0</v>
      </c>
    </row>
    <row r="236" spans="1:24" outlineLevel="3">
      <c r="A236" s="2" t="s">
        <v>335</v>
      </c>
      <c r="B236" s="3">
        <v>900337711</v>
      </c>
      <c r="C236" s="3">
        <v>0</v>
      </c>
      <c r="D236" s="2" t="s">
        <v>336</v>
      </c>
      <c r="E236" s="2">
        <v>8764532</v>
      </c>
      <c r="F236" s="2" t="s">
        <v>337</v>
      </c>
      <c r="G236" s="2" t="s">
        <v>275</v>
      </c>
      <c r="H236" s="2" t="s">
        <v>28</v>
      </c>
      <c r="I236" s="2" t="s">
        <v>11</v>
      </c>
      <c r="J236" s="2" t="s">
        <v>67</v>
      </c>
      <c r="K236" s="2" t="s">
        <v>47</v>
      </c>
      <c r="L236" s="2" t="s">
        <v>48</v>
      </c>
      <c r="M236" s="2" t="s">
        <v>32</v>
      </c>
      <c r="N236" s="3">
        <v>0</v>
      </c>
      <c r="O236" s="2" t="s">
        <v>33</v>
      </c>
      <c r="P236" s="2" t="s">
        <v>340</v>
      </c>
      <c r="Q236" s="4">
        <v>46097</v>
      </c>
      <c r="R236" s="4">
        <v>46157</v>
      </c>
      <c r="S236" s="3">
        <v>44</v>
      </c>
      <c r="T236" s="5">
        <v>0</v>
      </c>
      <c r="U236" s="2" t="s">
        <v>58</v>
      </c>
      <c r="V236" s="5">
        <v>20341191.25</v>
      </c>
      <c r="W236" s="5">
        <v>0</v>
      </c>
      <c r="X236" s="5">
        <v>0</v>
      </c>
    </row>
    <row r="237" spans="1:24" outlineLevel="3">
      <c r="A237" s="2" t="s">
        <v>335</v>
      </c>
      <c r="B237" s="3">
        <v>900337711</v>
      </c>
      <c r="C237" s="3">
        <v>0</v>
      </c>
      <c r="D237" s="2" t="s">
        <v>336</v>
      </c>
      <c r="E237" s="2">
        <v>8764532</v>
      </c>
      <c r="F237" s="2" t="s">
        <v>337</v>
      </c>
      <c r="G237" s="2" t="s">
        <v>275</v>
      </c>
      <c r="H237" s="2" t="s">
        <v>28</v>
      </c>
      <c r="I237" s="2" t="s">
        <v>11</v>
      </c>
      <c r="J237" s="2" t="s">
        <v>67</v>
      </c>
      <c r="K237" s="2" t="s">
        <v>47</v>
      </c>
      <c r="L237" s="2" t="s">
        <v>48</v>
      </c>
      <c r="M237" s="2" t="s">
        <v>32</v>
      </c>
      <c r="N237" s="3">
        <v>0</v>
      </c>
      <c r="O237" s="2" t="s">
        <v>33</v>
      </c>
      <c r="P237" s="2" t="s">
        <v>341</v>
      </c>
      <c r="Q237" s="4">
        <v>46098</v>
      </c>
      <c r="R237" s="4">
        <v>46158</v>
      </c>
      <c r="S237" s="3">
        <v>45</v>
      </c>
      <c r="T237" s="5">
        <v>0</v>
      </c>
      <c r="U237" s="2" t="s">
        <v>58</v>
      </c>
      <c r="V237" s="5">
        <v>4335477.5999999996</v>
      </c>
      <c r="W237" s="5">
        <v>0</v>
      </c>
      <c r="X237" s="5">
        <v>0</v>
      </c>
    </row>
    <row r="238" spans="1:24" outlineLevel="2">
      <c r="M238" s="14" t="s">
        <v>742</v>
      </c>
      <c r="T238" s="5">
        <f>SUBTOTAL(9,T234:T237)</f>
        <v>0</v>
      </c>
      <c r="V238" s="5">
        <f>SUBTOTAL(9,V234:V237)</f>
        <v>47943384.800000004</v>
      </c>
      <c r="W238" s="5">
        <f>SUBTOTAL(9,W234:W237)</f>
        <v>0</v>
      </c>
    </row>
    <row r="239" spans="1:24" outlineLevel="1">
      <c r="A239" s="14" t="s">
        <v>711</v>
      </c>
      <c r="T239" s="5">
        <f>SUBTOTAL(9,T234:T237)</f>
        <v>0</v>
      </c>
      <c r="V239" s="5">
        <f>SUBTOTAL(9,V234:V237)</f>
        <v>47943384.800000004</v>
      </c>
      <c r="W239" s="5">
        <f>SUBTOTAL(9,W234:W237)</f>
        <v>0</v>
      </c>
    </row>
    <row r="240" spans="1:24" outlineLevel="3">
      <c r="A240" s="2" t="s">
        <v>342</v>
      </c>
      <c r="B240" s="3">
        <v>900369941</v>
      </c>
      <c r="C240" s="3">
        <v>0</v>
      </c>
      <c r="D240" s="2" t="s">
        <v>343</v>
      </c>
      <c r="E240" s="2">
        <v>4444950</v>
      </c>
      <c r="F240" s="2" t="s">
        <v>344</v>
      </c>
      <c r="G240" s="2" t="s">
        <v>345</v>
      </c>
      <c r="H240" s="2" t="s">
        <v>28</v>
      </c>
      <c r="I240" s="2" t="s">
        <v>11</v>
      </c>
      <c r="J240" s="2" t="s">
        <v>59</v>
      </c>
      <c r="K240" s="2" t="s">
        <v>85</v>
      </c>
      <c r="L240" s="2" t="s">
        <v>86</v>
      </c>
      <c r="M240" s="2" t="s">
        <v>32</v>
      </c>
      <c r="N240" s="3">
        <v>0</v>
      </c>
      <c r="O240" s="2" t="s">
        <v>33</v>
      </c>
      <c r="P240" s="2" t="s">
        <v>346</v>
      </c>
      <c r="Q240" s="4">
        <v>45827</v>
      </c>
      <c r="R240" s="4">
        <v>45887</v>
      </c>
      <c r="S240" s="3">
        <v>-223</v>
      </c>
      <c r="T240" s="5">
        <v>0</v>
      </c>
      <c r="U240" s="2" t="s">
        <v>20</v>
      </c>
      <c r="V240" s="5">
        <v>11638561.960000001</v>
      </c>
      <c r="W240" s="5">
        <v>11638561.960000001</v>
      </c>
      <c r="X240" s="5">
        <v>11638561.960000001</v>
      </c>
    </row>
    <row r="241" spans="1:24" outlineLevel="3">
      <c r="A241" s="2" t="s">
        <v>342</v>
      </c>
      <c r="B241" s="3">
        <v>900369941</v>
      </c>
      <c r="C241" s="3">
        <v>0</v>
      </c>
      <c r="D241" s="2" t="s">
        <v>343</v>
      </c>
      <c r="E241" s="2">
        <v>4444950</v>
      </c>
      <c r="F241" s="2" t="s">
        <v>344</v>
      </c>
      <c r="G241" s="2" t="s">
        <v>345</v>
      </c>
      <c r="H241" s="2" t="s">
        <v>28</v>
      </c>
      <c r="I241" s="2" t="s">
        <v>11</v>
      </c>
      <c r="J241" s="2" t="s">
        <v>106</v>
      </c>
      <c r="K241" s="2" t="s">
        <v>85</v>
      </c>
      <c r="L241" s="2" t="s">
        <v>86</v>
      </c>
      <c r="M241" s="2" t="s">
        <v>32</v>
      </c>
      <c r="N241" s="3">
        <v>0</v>
      </c>
      <c r="O241" s="2" t="s">
        <v>33</v>
      </c>
      <c r="P241" s="2" t="s">
        <v>347</v>
      </c>
      <c r="Q241" s="4">
        <v>45827</v>
      </c>
      <c r="R241" s="4">
        <v>45887</v>
      </c>
      <c r="S241" s="3">
        <v>-223</v>
      </c>
      <c r="T241" s="5">
        <v>0</v>
      </c>
      <c r="U241" s="2" t="s">
        <v>20</v>
      </c>
      <c r="V241" s="5">
        <v>710912.12</v>
      </c>
      <c r="W241" s="5">
        <v>710912.12</v>
      </c>
      <c r="X241" s="5">
        <v>12349474.08</v>
      </c>
    </row>
    <row r="242" spans="1:24" outlineLevel="3">
      <c r="A242" s="2" t="s">
        <v>342</v>
      </c>
      <c r="B242" s="3">
        <v>900369941</v>
      </c>
      <c r="C242" s="3">
        <v>0</v>
      </c>
      <c r="D242" s="2" t="s">
        <v>343</v>
      </c>
      <c r="E242" s="2">
        <v>4444950</v>
      </c>
      <c r="F242" s="2" t="s">
        <v>344</v>
      </c>
      <c r="G242" s="2" t="s">
        <v>345</v>
      </c>
      <c r="H242" s="2" t="s">
        <v>28</v>
      </c>
      <c r="I242" s="2" t="s">
        <v>11</v>
      </c>
      <c r="J242" s="2" t="s">
        <v>59</v>
      </c>
      <c r="K242" s="2" t="s">
        <v>85</v>
      </c>
      <c r="L242" s="2" t="s">
        <v>86</v>
      </c>
      <c r="M242" s="2" t="s">
        <v>32</v>
      </c>
      <c r="N242" s="3">
        <v>0</v>
      </c>
      <c r="O242" s="2" t="s">
        <v>33</v>
      </c>
      <c r="P242" s="2" t="s">
        <v>348</v>
      </c>
      <c r="Q242" s="4">
        <v>45840</v>
      </c>
      <c r="R242" s="4">
        <v>45901</v>
      </c>
      <c r="S242" s="3">
        <v>-210</v>
      </c>
      <c r="T242" s="5">
        <v>0</v>
      </c>
      <c r="U242" s="2" t="s">
        <v>20</v>
      </c>
      <c r="V242" s="5">
        <v>11065088.449999999</v>
      </c>
      <c r="W242" s="5">
        <v>11065088.449999999</v>
      </c>
      <c r="X242" s="5">
        <v>23414562.530000001</v>
      </c>
    </row>
    <row r="243" spans="1:24" outlineLevel="3">
      <c r="A243" s="2" t="s">
        <v>342</v>
      </c>
      <c r="B243" s="3">
        <v>900369941</v>
      </c>
      <c r="C243" s="3">
        <v>0</v>
      </c>
      <c r="D243" s="2" t="s">
        <v>343</v>
      </c>
      <c r="E243" s="2">
        <v>4444950</v>
      </c>
      <c r="F243" s="2" t="s">
        <v>344</v>
      </c>
      <c r="G243" s="2" t="s">
        <v>345</v>
      </c>
      <c r="H243" s="2" t="s">
        <v>28</v>
      </c>
      <c r="I243" s="2" t="s">
        <v>11</v>
      </c>
      <c r="J243" s="2" t="s">
        <v>106</v>
      </c>
      <c r="K243" s="2" t="s">
        <v>85</v>
      </c>
      <c r="L243" s="2" t="s">
        <v>86</v>
      </c>
      <c r="M243" s="2" t="s">
        <v>32</v>
      </c>
      <c r="N243" s="3">
        <v>0</v>
      </c>
      <c r="O243" s="2" t="s">
        <v>33</v>
      </c>
      <c r="P243" s="2" t="s">
        <v>349</v>
      </c>
      <c r="Q243" s="4">
        <v>45852</v>
      </c>
      <c r="R243" s="4">
        <v>45913</v>
      </c>
      <c r="S243" s="3">
        <v>-198</v>
      </c>
      <c r="T243" s="5">
        <v>0</v>
      </c>
      <c r="U243" s="2" t="s">
        <v>20</v>
      </c>
      <c r="V243" s="5">
        <v>494093.95</v>
      </c>
      <c r="W243" s="5">
        <v>494093.95</v>
      </c>
      <c r="X243" s="5">
        <v>23908656.48</v>
      </c>
    </row>
    <row r="244" spans="1:24" outlineLevel="3">
      <c r="A244" s="2" t="s">
        <v>342</v>
      </c>
      <c r="B244" s="3">
        <v>900369941</v>
      </c>
      <c r="C244" s="3">
        <v>0</v>
      </c>
      <c r="D244" s="2" t="s">
        <v>343</v>
      </c>
      <c r="E244" s="2">
        <v>4444950</v>
      </c>
      <c r="F244" s="2" t="s">
        <v>344</v>
      </c>
      <c r="G244" s="2" t="s">
        <v>345</v>
      </c>
      <c r="H244" s="2" t="s">
        <v>28</v>
      </c>
      <c r="I244" s="2" t="s">
        <v>11</v>
      </c>
      <c r="J244" s="2" t="s">
        <v>106</v>
      </c>
      <c r="K244" s="2" t="s">
        <v>85</v>
      </c>
      <c r="L244" s="2" t="s">
        <v>86</v>
      </c>
      <c r="M244" s="2" t="s">
        <v>32</v>
      </c>
      <c r="N244" s="3">
        <v>0</v>
      </c>
      <c r="O244" s="2" t="s">
        <v>33</v>
      </c>
      <c r="P244" s="2" t="s">
        <v>350</v>
      </c>
      <c r="Q244" s="4">
        <v>45852</v>
      </c>
      <c r="R244" s="4">
        <v>45913</v>
      </c>
      <c r="S244" s="3">
        <v>-198</v>
      </c>
      <c r="T244" s="5">
        <v>0</v>
      </c>
      <c r="U244" s="2" t="s">
        <v>20</v>
      </c>
      <c r="V244" s="5">
        <v>515293.8</v>
      </c>
      <c r="W244" s="5">
        <v>515293.8</v>
      </c>
      <c r="X244" s="5">
        <v>24423950.280000001</v>
      </c>
    </row>
    <row r="245" spans="1:24" outlineLevel="3">
      <c r="A245" s="2" t="s">
        <v>342</v>
      </c>
      <c r="B245" s="3">
        <v>900369941</v>
      </c>
      <c r="C245" s="3">
        <v>0</v>
      </c>
      <c r="D245" s="2" t="s">
        <v>343</v>
      </c>
      <c r="E245" s="2">
        <v>4444950</v>
      </c>
      <c r="F245" s="2" t="s">
        <v>344</v>
      </c>
      <c r="G245" s="2" t="s">
        <v>345</v>
      </c>
      <c r="H245" s="2" t="s">
        <v>28</v>
      </c>
      <c r="I245" s="2" t="s">
        <v>11</v>
      </c>
      <c r="J245" s="2" t="s">
        <v>106</v>
      </c>
      <c r="K245" s="2" t="s">
        <v>85</v>
      </c>
      <c r="L245" s="2" t="s">
        <v>86</v>
      </c>
      <c r="M245" s="2" t="s">
        <v>32</v>
      </c>
      <c r="N245" s="3">
        <v>0</v>
      </c>
      <c r="O245" s="2" t="s">
        <v>33</v>
      </c>
      <c r="P245" s="2" t="s">
        <v>351</v>
      </c>
      <c r="Q245" s="4">
        <v>45852</v>
      </c>
      <c r="R245" s="4">
        <v>45913</v>
      </c>
      <c r="S245" s="3">
        <v>-198</v>
      </c>
      <c r="T245" s="5">
        <v>0</v>
      </c>
      <c r="U245" s="2" t="s">
        <v>20</v>
      </c>
      <c r="V245" s="5">
        <v>814661.2</v>
      </c>
      <c r="W245" s="5">
        <v>814661.2</v>
      </c>
      <c r="X245" s="5">
        <v>25238611.48</v>
      </c>
    </row>
    <row r="246" spans="1:24" outlineLevel="3">
      <c r="A246" s="2" t="s">
        <v>342</v>
      </c>
      <c r="B246" s="3">
        <v>900369941</v>
      </c>
      <c r="C246" s="3">
        <v>0</v>
      </c>
      <c r="D246" s="2" t="s">
        <v>343</v>
      </c>
      <c r="E246" s="2">
        <v>4444950</v>
      </c>
      <c r="F246" s="2" t="s">
        <v>344</v>
      </c>
      <c r="G246" s="2" t="s">
        <v>345</v>
      </c>
      <c r="H246" s="2" t="s">
        <v>28</v>
      </c>
      <c r="I246" s="2" t="s">
        <v>11</v>
      </c>
      <c r="J246" s="2" t="s">
        <v>106</v>
      </c>
      <c r="K246" s="2" t="s">
        <v>85</v>
      </c>
      <c r="L246" s="2" t="s">
        <v>86</v>
      </c>
      <c r="M246" s="2" t="s">
        <v>32</v>
      </c>
      <c r="N246" s="3">
        <v>0</v>
      </c>
      <c r="O246" s="2" t="s">
        <v>33</v>
      </c>
      <c r="P246" s="2" t="s">
        <v>352</v>
      </c>
      <c r="Q246" s="4">
        <v>45861</v>
      </c>
      <c r="R246" s="4">
        <v>45922</v>
      </c>
      <c r="S246" s="3">
        <v>-189</v>
      </c>
      <c r="T246" s="5">
        <v>0</v>
      </c>
      <c r="U246" s="2" t="s">
        <v>20</v>
      </c>
      <c r="V246" s="5">
        <v>8662885.2400000002</v>
      </c>
      <c r="W246" s="5">
        <v>8662885.2400000002</v>
      </c>
      <c r="X246" s="5">
        <v>33901496.719999999</v>
      </c>
    </row>
    <row r="247" spans="1:24" outlineLevel="3">
      <c r="A247" s="2" t="s">
        <v>342</v>
      </c>
      <c r="B247" s="3">
        <v>900369941</v>
      </c>
      <c r="C247" s="3">
        <v>0</v>
      </c>
      <c r="D247" s="2" t="s">
        <v>343</v>
      </c>
      <c r="E247" s="2">
        <v>4444950</v>
      </c>
      <c r="F247" s="2" t="s">
        <v>344</v>
      </c>
      <c r="G247" s="2" t="s">
        <v>345</v>
      </c>
      <c r="H247" s="2" t="s">
        <v>28</v>
      </c>
      <c r="I247" s="2" t="s">
        <v>11</v>
      </c>
      <c r="J247" s="2" t="s">
        <v>106</v>
      </c>
      <c r="K247" s="2" t="s">
        <v>85</v>
      </c>
      <c r="L247" s="2" t="s">
        <v>86</v>
      </c>
      <c r="M247" s="2" t="s">
        <v>32</v>
      </c>
      <c r="N247" s="3">
        <v>0</v>
      </c>
      <c r="O247" s="2" t="s">
        <v>33</v>
      </c>
      <c r="P247" s="2" t="s">
        <v>353</v>
      </c>
      <c r="Q247" s="4">
        <v>45861</v>
      </c>
      <c r="R247" s="4">
        <v>45922</v>
      </c>
      <c r="S247" s="3">
        <v>-189</v>
      </c>
      <c r="T247" s="5">
        <v>0</v>
      </c>
      <c r="U247" s="2" t="s">
        <v>20</v>
      </c>
      <c r="V247" s="5">
        <v>501186.35</v>
      </c>
      <c r="W247" s="5">
        <v>501186.35</v>
      </c>
      <c r="X247" s="5">
        <v>34402683.07</v>
      </c>
    </row>
    <row r="248" spans="1:24" outlineLevel="3">
      <c r="A248" s="2" t="s">
        <v>342</v>
      </c>
      <c r="B248" s="3">
        <v>900369941</v>
      </c>
      <c r="C248" s="3">
        <v>0</v>
      </c>
      <c r="D248" s="2" t="s">
        <v>343</v>
      </c>
      <c r="E248" s="2">
        <v>4444950</v>
      </c>
      <c r="F248" s="2" t="s">
        <v>344</v>
      </c>
      <c r="G248" s="2" t="s">
        <v>345</v>
      </c>
      <c r="H248" s="2" t="s">
        <v>28</v>
      </c>
      <c r="I248" s="2" t="s">
        <v>11</v>
      </c>
      <c r="J248" s="2" t="s">
        <v>106</v>
      </c>
      <c r="K248" s="2" t="s">
        <v>85</v>
      </c>
      <c r="L248" s="2" t="s">
        <v>86</v>
      </c>
      <c r="M248" s="2" t="s">
        <v>32</v>
      </c>
      <c r="N248" s="3">
        <v>0</v>
      </c>
      <c r="O248" s="2" t="s">
        <v>33</v>
      </c>
      <c r="P248" s="2" t="s">
        <v>354</v>
      </c>
      <c r="Q248" s="4">
        <v>45863</v>
      </c>
      <c r="R248" s="4">
        <v>45924</v>
      </c>
      <c r="S248" s="3">
        <v>-187</v>
      </c>
      <c r="T248" s="5">
        <v>0</v>
      </c>
      <c r="U248" s="2" t="s">
        <v>20</v>
      </c>
      <c r="V248" s="5">
        <v>6151968.9000000004</v>
      </c>
      <c r="W248" s="5">
        <v>6151968.9000000004</v>
      </c>
      <c r="X248" s="5">
        <v>40554651.969999999</v>
      </c>
    </row>
    <row r="249" spans="1:24" outlineLevel="3">
      <c r="A249" s="2" t="s">
        <v>342</v>
      </c>
      <c r="B249" s="3">
        <v>900369941</v>
      </c>
      <c r="C249" s="3">
        <v>0</v>
      </c>
      <c r="D249" s="2" t="s">
        <v>343</v>
      </c>
      <c r="E249" s="2">
        <v>4444950</v>
      </c>
      <c r="F249" s="2" t="s">
        <v>344</v>
      </c>
      <c r="G249" s="2" t="s">
        <v>345</v>
      </c>
      <c r="H249" s="2" t="s">
        <v>28</v>
      </c>
      <c r="I249" s="2" t="s">
        <v>11</v>
      </c>
      <c r="J249" s="2" t="s">
        <v>106</v>
      </c>
      <c r="K249" s="2" t="s">
        <v>85</v>
      </c>
      <c r="L249" s="2" t="s">
        <v>86</v>
      </c>
      <c r="M249" s="2" t="s">
        <v>32</v>
      </c>
      <c r="N249" s="3">
        <v>0</v>
      </c>
      <c r="O249" s="2" t="s">
        <v>33</v>
      </c>
      <c r="P249" s="2" t="s">
        <v>355</v>
      </c>
      <c r="Q249" s="4">
        <v>45863</v>
      </c>
      <c r="R249" s="4">
        <v>45924</v>
      </c>
      <c r="S249" s="3">
        <v>-187</v>
      </c>
      <c r="T249" s="5">
        <v>0</v>
      </c>
      <c r="U249" s="2" t="s">
        <v>20</v>
      </c>
      <c r="V249" s="5">
        <v>11107721.619999999</v>
      </c>
      <c r="W249" s="5">
        <v>11107721.619999999</v>
      </c>
      <c r="X249" s="5">
        <v>51662373.590000004</v>
      </c>
    </row>
    <row r="250" spans="1:24" outlineLevel="3">
      <c r="A250" s="2" t="s">
        <v>342</v>
      </c>
      <c r="B250" s="3">
        <v>900369941</v>
      </c>
      <c r="C250" s="3">
        <v>0</v>
      </c>
      <c r="D250" s="2" t="s">
        <v>343</v>
      </c>
      <c r="E250" s="2">
        <v>4444950</v>
      </c>
      <c r="F250" s="2" t="s">
        <v>344</v>
      </c>
      <c r="G250" s="2" t="s">
        <v>345</v>
      </c>
      <c r="H250" s="2" t="s">
        <v>28</v>
      </c>
      <c r="I250" s="2" t="s">
        <v>11</v>
      </c>
      <c r="J250" s="2" t="s">
        <v>106</v>
      </c>
      <c r="K250" s="2" t="s">
        <v>85</v>
      </c>
      <c r="L250" s="2" t="s">
        <v>86</v>
      </c>
      <c r="M250" s="2" t="s">
        <v>32</v>
      </c>
      <c r="N250" s="3">
        <v>0</v>
      </c>
      <c r="O250" s="2" t="s">
        <v>33</v>
      </c>
      <c r="P250" s="2" t="s">
        <v>356</v>
      </c>
      <c r="Q250" s="4">
        <v>45873</v>
      </c>
      <c r="R250" s="4">
        <v>45933</v>
      </c>
      <c r="S250" s="3">
        <v>-178</v>
      </c>
      <c r="T250" s="5">
        <v>0</v>
      </c>
      <c r="U250" s="2" t="s">
        <v>20</v>
      </c>
      <c r="V250" s="5">
        <v>8683444</v>
      </c>
      <c r="W250" s="5">
        <v>8683444</v>
      </c>
      <c r="X250" s="5">
        <v>60345817.590000004</v>
      </c>
    </row>
    <row r="251" spans="1:24" outlineLevel="3">
      <c r="A251" s="2" t="s">
        <v>342</v>
      </c>
      <c r="B251" s="3">
        <v>900369941</v>
      </c>
      <c r="C251" s="3">
        <v>0</v>
      </c>
      <c r="D251" s="2" t="s">
        <v>343</v>
      </c>
      <c r="E251" s="2">
        <v>4444950</v>
      </c>
      <c r="F251" s="2" t="s">
        <v>344</v>
      </c>
      <c r="G251" s="2" t="s">
        <v>345</v>
      </c>
      <c r="H251" s="2" t="s">
        <v>28</v>
      </c>
      <c r="I251" s="2" t="s">
        <v>11</v>
      </c>
      <c r="J251" s="2" t="s">
        <v>106</v>
      </c>
      <c r="K251" s="2" t="s">
        <v>85</v>
      </c>
      <c r="L251" s="2" t="s">
        <v>86</v>
      </c>
      <c r="M251" s="2" t="s">
        <v>32</v>
      </c>
      <c r="N251" s="3">
        <v>0</v>
      </c>
      <c r="O251" s="2" t="s">
        <v>33</v>
      </c>
      <c r="P251" s="2" t="s">
        <v>357</v>
      </c>
      <c r="Q251" s="4">
        <v>45873</v>
      </c>
      <c r="R251" s="4">
        <v>45933</v>
      </c>
      <c r="S251" s="3">
        <v>-178</v>
      </c>
      <c r="T251" s="5">
        <v>0</v>
      </c>
      <c r="U251" s="2" t="s">
        <v>20</v>
      </c>
      <c r="V251" s="5">
        <v>840203.82</v>
      </c>
      <c r="W251" s="5">
        <v>840203.82</v>
      </c>
      <c r="X251" s="5">
        <v>61186021.409999996</v>
      </c>
    </row>
    <row r="252" spans="1:24" outlineLevel="3">
      <c r="A252" s="2" t="s">
        <v>342</v>
      </c>
      <c r="B252" s="3">
        <v>900369941</v>
      </c>
      <c r="C252" s="3">
        <v>0</v>
      </c>
      <c r="D252" s="2" t="s">
        <v>343</v>
      </c>
      <c r="E252" s="2">
        <v>4444950</v>
      </c>
      <c r="F252" s="2" t="s">
        <v>344</v>
      </c>
      <c r="G252" s="2" t="s">
        <v>345</v>
      </c>
      <c r="H252" s="2" t="s">
        <v>28</v>
      </c>
      <c r="I252" s="2" t="s">
        <v>11</v>
      </c>
      <c r="J252" s="2" t="s">
        <v>106</v>
      </c>
      <c r="K252" s="2" t="s">
        <v>85</v>
      </c>
      <c r="L252" s="2" t="s">
        <v>86</v>
      </c>
      <c r="M252" s="2" t="s">
        <v>32</v>
      </c>
      <c r="N252" s="3">
        <v>0</v>
      </c>
      <c r="O252" s="2" t="s">
        <v>33</v>
      </c>
      <c r="P252" s="2" t="s">
        <v>358</v>
      </c>
      <c r="Q252" s="4">
        <v>45873</v>
      </c>
      <c r="R252" s="4">
        <v>45933</v>
      </c>
      <c r="S252" s="3">
        <v>-178</v>
      </c>
      <c r="T252" s="5">
        <v>0</v>
      </c>
      <c r="U252" s="2" t="s">
        <v>20</v>
      </c>
      <c r="V252" s="5">
        <v>8839941.9399999995</v>
      </c>
      <c r="W252" s="5">
        <v>8839941.9399999995</v>
      </c>
      <c r="X252" s="5">
        <v>70025963.349999994</v>
      </c>
    </row>
    <row r="253" spans="1:24" outlineLevel="3">
      <c r="A253" s="2" t="s">
        <v>342</v>
      </c>
      <c r="B253" s="3">
        <v>900369941</v>
      </c>
      <c r="C253" s="3">
        <v>0</v>
      </c>
      <c r="D253" s="2" t="s">
        <v>343</v>
      </c>
      <c r="E253" s="2">
        <v>4444950</v>
      </c>
      <c r="F253" s="2" t="s">
        <v>344</v>
      </c>
      <c r="G253" s="2" t="s">
        <v>345</v>
      </c>
      <c r="H253" s="2" t="s">
        <v>28</v>
      </c>
      <c r="I253" s="2" t="s">
        <v>11</v>
      </c>
      <c r="J253" s="2" t="s">
        <v>106</v>
      </c>
      <c r="K253" s="2" t="s">
        <v>85</v>
      </c>
      <c r="L253" s="2" t="s">
        <v>86</v>
      </c>
      <c r="M253" s="2" t="s">
        <v>32</v>
      </c>
      <c r="N253" s="3">
        <v>0</v>
      </c>
      <c r="O253" s="2" t="s">
        <v>33</v>
      </c>
      <c r="P253" s="2" t="s">
        <v>359</v>
      </c>
      <c r="Q253" s="4">
        <v>45873</v>
      </c>
      <c r="R253" s="4">
        <v>45933</v>
      </c>
      <c r="S253" s="3">
        <v>-178</v>
      </c>
      <c r="T253" s="5">
        <v>0</v>
      </c>
      <c r="U253" s="2" t="s">
        <v>20</v>
      </c>
      <c r="V253" s="5">
        <v>15198179.92</v>
      </c>
      <c r="W253" s="5">
        <v>15198179.92</v>
      </c>
      <c r="X253" s="5">
        <v>85224143.269999996</v>
      </c>
    </row>
    <row r="254" spans="1:24" outlineLevel="3">
      <c r="A254" s="2" t="s">
        <v>342</v>
      </c>
      <c r="B254" s="3">
        <v>900369941</v>
      </c>
      <c r="C254" s="3">
        <v>0</v>
      </c>
      <c r="D254" s="2" t="s">
        <v>343</v>
      </c>
      <c r="E254" s="2">
        <v>4444950</v>
      </c>
      <c r="F254" s="2" t="s">
        <v>344</v>
      </c>
      <c r="G254" s="2" t="s">
        <v>345</v>
      </c>
      <c r="H254" s="2" t="s">
        <v>28</v>
      </c>
      <c r="I254" s="2" t="s">
        <v>11</v>
      </c>
      <c r="J254" s="2" t="s">
        <v>106</v>
      </c>
      <c r="K254" s="2" t="s">
        <v>85</v>
      </c>
      <c r="L254" s="2" t="s">
        <v>86</v>
      </c>
      <c r="M254" s="2" t="s">
        <v>32</v>
      </c>
      <c r="N254" s="3">
        <v>0</v>
      </c>
      <c r="O254" s="2" t="s">
        <v>33</v>
      </c>
      <c r="P254" s="2" t="s">
        <v>360</v>
      </c>
      <c r="Q254" s="4">
        <v>45904</v>
      </c>
      <c r="R254" s="4">
        <v>45964</v>
      </c>
      <c r="S254" s="3">
        <v>-148</v>
      </c>
      <c r="T254" s="5">
        <v>0</v>
      </c>
      <c r="U254" s="2" t="s">
        <v>20</v>
      </c>
      <c r="V254" s="5">
        <v>515162.9</v>
      </c>
      <c r="W254" s="5">
        <v>515162.9</v>
      </c>
      <c r="X254" s="5">
        <v>85739306.170000002</v>
      </c>
    </row>
    <row r="255" spans="1:24" outlineLevel="3">
      <c r="A255" s="2" t="s">
        <v>342</v>
      </c>
      <c r="B255" s="3">
        <v>900369941</v>
      </c>
      <c r="C255" s="3">
        <v>0</v>
      </c>
      <c r="D255" s="2" t="s">
        <v>343</v>
      </c>
      <c r="E255" s="2">
        <v>4444950</v>
      </c>
      <c r="F255" s="2" t="s">
        <v>344</v>
      </c>
      <c r="G255" s="2" t="s">
        <v>345</v>
      </c>
      <c r="H255" s="2" t="s">
        <v>28</v>
      </c>
      <c r="I255" s="2" t="s">
        <v>11</v>
      </c>
      <c r="J255" s="2" t="s">
        <v>106</v>
      </c>
      <c r="K255" s="2" t="s">
        <v>85</v>
      </c>
      <c r="L255" s="2" t="s">
        <v>86</v>
      </c>
      <c r="M255" s="2" t="s">
        <v>32</v>
      </c>
      <c r="N255" s="3">
        <v>0</v>
      </c>
      <c r="O255" s="2" t="s">
        <v>33</v>
      </c>
      <c r="P255" s="2" t="s">
        <v>361</v>
      </c>
      <c r="Q255" s="4">
        <v>45904</v>
      </c>
      <c r="R255" s="4">
        <v>45964</v>
      </c>
      <c r="S255" s="3">
        <v>-148</v>
      </c>
      <c r="T255" s="5">
        <v>0</v>
      </c>
      <c r="U255" s="2" t="s">
        <v>20</v>
      </c>
      <c r="V255" s="5">
        <v>3388606.37</v>
      </c>
      <c r="W255" s="5">
        <v>3388606.37</v>
      </c>
      <c r="X255" s="5">
        <v>89127912.540000007</v>
      </c>
    </row>
    <row r="256" spans="1:24" outlineLevel="3">
      <c r="A256" s="2" t="s">
        <v>342</v>
      </c>
      <c r="B256" s="3">
        <v>900369941</v>
      </c>
      <c r="C256" s="3">
        <v>0</v>
      </c>
      <c r="D256" s="2" t="s">
        <v>343</v>
      </c>
      <c r="E256" s="2">
        <v>4444950</v>
      </c>
      <c r="F256" s="2" t="s">
        <v>344</v>
      </c>
      <c r="G256" s="2" t="s">
        <v>345</v>
      </c>
      <c r="H256" s="2" t="s">
        <v>28</v>
      </c>
      <c r="I256" s="2" t="s">
        <v>11</v>
      </c>
      <c r="J256" s="2" t="s">
        <v>106</v>
      </c>
      <c r="K256" s="2" t="s">
        <v>85</v>
      </c>
      <c r="L256" s="2" t="s">
        <v>86</v>
      </c>
      <c r="M256" s="2" t="s">
        <v>32</v>
      </c>
      <c r="N256" s="3">
        <v>0</v>
      </c>
      <c r="O256" s="2" t="s">
        <v>33</v>
      </c>
      <c r="P256" s="2" t="s">
        <v>362</v>
      </c>
      <c r="Q256" s="4">
        <v>45904</v>
      </c>
      <c r="R256" s="4">
        <v>45964</v>
      </c>
      <c r="S256" s="3">
        <v>-148</v>
      </c>
      <c r="T256" s="5">
        <v>0</v>
      </c>
      <c r="U256" s="2" t="s">
        <v>20</v>
      </c>
      <c r="V256" s="5">
        <v>814451.5</v>
      </c>
      <c r="W256" s="5">
        <v>814451.5</v>
      </c>
      <c r="X256" s="5">
        <v>89942364.040000007</v>
      </c>
    </row>
    <row r="257" spans="1:24" outlineLevel="3">
      <c r="A257" s="2" t="s">
        <v>342</v>
      </c>
      <c r="B257" s="3">
        <v>900369941</v>
      </c>
      <c r="C257" s="3">
        <v>0</v>
      </c>
      <c r="D257" s="2" t="s">
        <v>343</v>
      </c>
      <c r="E257" s="2">
        <v>4444950</v>
      </c>
      <c r="F257" s="2" t="s">
        <v>344</v>
      </c>
      <c r="G257" s="2" t="s">
        <v>345</v>
      </c>
      <c r="H257" s="2" t="s">
        <v>28</v>
      </c>
      <c r="I257" s="2" t="s">
        <v>11</v>
      </c>
      <c r="J257" s="2" t="s">
        <v>106</v>
      </c>
      <c r="K257" s="2" t="s">
        <v>85</v>
      </c>
      <c r="L257" s="2" t="s">
        <v>86</v>
      </c>
      <c r="M257" s="2" t="s">
        <v>32</v>
      </c>
      <c r="N257" s="3">
        <v>0</v>
      </c>
      <c r="O257" s="2" t="s">
        <v>33</v>
      </c>
      <c r="P257" s="2" t="s">
        <v>363</v>
      </c>
      <c r="Q257" s="4">
        <v>45915</v>
      </c>
      <c r="R257" s="4">
        <v>45975</v>
      </c>
      <c r="S257" s="3">
        <v>-137</v>
      </c>
      <c r="T257" s="5">
        <v>0</v>
      </c>
      <c r="U257" s="2" t="s">
        <v>20</v>
      </c>
      <c r="V257" s="5">
        <v>13397500</v>
      </c>
      <c r="W257" s="5">
        <v>13397500</v>
      </c>
      <c r="X257" s="5">
        <v>103339864.04000001</v>
      </c>
    </row>
    <row r="258" spans="1:24" outlineLevel="3">
      <c r="A258" s="2" t="s">
        <v>342</v>
      </c>
      <c r="B258" s="3">
        <v>900369941</v>
      </c>
      <c r="C258" s="3">
        <v>0</v>
      </c>
      <c r="D258" s="2" t="s">
        <v>343</v>
      </c>
      <c r="E258" s="2">
        <v>4444950</v>
      </c>
      <c r="F258" s="2" t="s">
        <v>344</v>
      </c>
      <c r="G258" s="2" t="s">
        <v>345</v>
      </c>
      <c r="H258" s="2" t="s">
        <v>28</v>
      </c>
      <c r="I258" s="2" t="s">
        <v>11</v>
      </c>
      <c r="J258" s="2" t="s">
        <v>106</v>
      </c>
      <c r="K258" s="2" t="s">
        <v>85</v>
      </c>
      <c r="L258" s="2" t="s">
        <v>86</v>
      </c>
      <c r="M258" s="2" t="s">
        <v>32</v>
      </c>
      <c r="N258" s="3">
        <v>0</v>
      </c>
      <c r="O258" s="2" t="s">
        <v>33</v>
      </c>
      <c r="P258" s="2" t="s">
        <v>364</v>
      </c>
      <c r="Q258" s="4">
        <v>45917</v>
      </c>
      <c r="R258" s="4">
        <v>45977</v>
      </c>
      <c r="S258" s="3">
        <v>-135</v>
      </c>
      <c r="T258" s="5">
        <v>0</v>
      </c>
      <c r="U258" s="2" t="s">
        <v>20</v>
      </c>
      <c r="V258" s="5">
        <v>802731.6</v>
      </c>
      <c r="W258" s="5">
        <v>802731.6</v>
      </c>
      <c r="X258" s="5">
        <v>104142595.64</v>
      </c>
    </row>
    <row r="259" spans="1:24" outlineLevel="3">
      <c r="A259" s="2" t="s">
        <v>342</v>
      </c>
      <c r="B259" s="3">
        <v>900369941</v>
      </c>
      <c r="C259" s="3">
        <v>0</v>
      </c>
      <c r="D259" s="2" t="s">
        <v>343</v>
      </c>
      <c r="E259" s="2">
        <v>4444950</v>
      </c>
      <c r="F259" s="2" t="s">
        <v>344</v>
      </c>
      <c r="G259" s="2" t="s">
        <v>345</v>
      </c>
      <c r="H259" s="2" t="s">
        <v>28</v>
      </c>
      <c r="I259" s="2" t="s">
        <v>11</v>
      </c>
      <c r="J259" s="2" t="s">
        <v>106</v>
      </c>
      <c r="K259" s="2" t="s">
        <v>85</v>
      </c>
      <c r="L259" s="2" t="s">
        <v>86</v>
      </c>
      <c r="M259" s="2" t="s">
        <v>32</v>
      </c>
      <c r="N259" s="3">
        <v>0</v>
      </c>
      <c r="O259" s="2" t="s">
        <v>33</v>
      </c>
      <c r="P259" s="2" t="s">
        <v>365</v>
      </c>
      <c r="Q259" s="4">
        <v>45919</v>
      </c>
      <c r="R259" s="4">
        <v>45979</v>
      </c>
      <c r="S259" s="3">
        <v>-133</v>
      </c>
      <c r="T259" s="5">
        <v>0</v>
      </c>
      <c r="U259" s="2" t="s">
        <v>20</v>
      </c>
      <c r="V259" s="5">
        <v>778837.45</v>
      </c>
      <c r="W259" s="5">
        <v>778837.45</v>
      </c>
      <c r="X259" s="5">
        <v>104921433.09</v>
      </c>
    </row>
    <row r="260" spans="1:24" outlineLevel="3">
      <c r="A260" s="2" t="s">
        <v>342</v>
      </c>
      <c r="B260" s="3">
        <v>900369941</v>
      </c>
      <c r="C260" s="3">
        <v>0</v>
      </c>
      <c r="D260" s="2" t="s">
        <v>343</v>
      </c>
      <c r="E260" s="2">
        <v>4444950</v>
      </c>
      <c r="F260" s="2" t="s">
        <v>344</v>
      </c>
      <c r="G260" s="2" t="s">
        <v>345</v>
      </c>
      <c r="H260" s="2" t="s">
        <v>28</v>
      </c>
      <c r="I260" s="2" t="s">
        <v>11</v>
      </c>
      <c r="J260" s="2" t="s">
        <v>106</v>
      </c>
      <c r="K260" s="2" t="s">
        <v>85</v>
      </c>
      <c r="L260" s="2" t="s">
        <v>86</v>
      </c>
      <c r="M260" s="2" t="s">
        <v>32</v>
      </c>
      <c r="N260" s="3">
        <v>0</v>
      </c>
      <c r="O260" s="2" t="s">
        <v>33</v>
      </c>
      <c r="P260" s="2" t="s">
        <v>366</v>
      </c>
      <c r="Q260" s="4">
        <v>45919</v>
      </c>
      <c r="R260" s="4">
        <v>45979</v>
      </c>
      <c r="S260" s="3">
        <v>-133</v>
      </c>
      <c r="T260" s="5">
        <v>0</v>
      </c>
      <c r="U260" s="2" t="s">
        <v>20</v>
      </c>
      <c r="V260" s="5">
        <v>778837.45</v>
      </c>
      <c r="W260" s="5">
        <v>778837.45</v>
      </c>
      <c r="X260" s="5">
        <v>105700270.54000001</v>
      </c>
    </row>
    <row r="261" spans="1:24" outlineLevel="3">
      <c r="A261" s="2" t="s">
        <v>342</v>
      </c>
      <c r="B261" s="3">
        <v>900369941</v>
      </c>
      <c r="C261" s="3">
        <v>0</v>
      </c>
      <c r="D261" s="2" t="s">
        <v>343</v>
      </c>
      <c r="E261" s="2">
        <v>4444950</v>
      </c>
      <c r="F261" s="2" t="s">
        <v>344</v>
      </c>
      <c r="G261" s="2" t="s">
        <v>345</v>
      </c>
      <c r="H261" s="2" t="s">
        <v>28</v>
      </c>
      <c r="I261" s="2" t="s">
        <v>11</v>
      </c>
      <c r="J261" s="2" t="s">
        <v>106</v>
      </c>
      <c r="K261" s="2" t="s">
        <v>85</v>
      </c>
      <c r="L261" s="2" t="s">
        <v>86</v>
      </c>
      <c r="M261" s="2" t="s">
        <v>32</v>
      </c>
      <c r="N261" s="3">
        <v>0</v>
      </c>
      <c r="O261" s="2" t="s">
        <v>33</v>
      </c>
      <c r="P261" s="2" t="s">
        <v>367</v>
      </c>
      <c r="Q261" s="4">
        <v>45925</v>
      </c>
      <c r="R261" s="4">
        <v>45985</v>
      </c>
      <c r="S261" s="3">
        <v>-127</v>
      </c>
      <c r="T261" s="5">
        <v>0</v>
      </c>
      <c r="U261" s="2" t="s">
        <v>20</v>
      </c>
      <c r="V261" s="5">
        <v>1356502.7</v>
      </c>
      <c r="W261" s="5">
        <v>1356502.7</v>
      </c>
      <c r="X261" s="5">
        <v>107056773.23999999</v>
      </c>
    </row>
    <row r="262" spans="1:24" outlineLevel="3">
      <c r="A262" s="2" t="s">
        <v>342</v>
      </c>
      <c r="B262" s="3">
        <v>900369941</v>
      </c>
      <c r="C262" s="3">
        <v>0</v>
      </c>
      <c r="D262" s="2" t="s">
        <v>343</v>
      </c>
      <c r="E262" s="2">
        <v>4444950</v>
      </c>
      <c r="F262" s="2" t="s">
        <v>344</v>
      </c>
      <c r="G262" s="2" t="s">
        <v>345</v>
      </c>
      <c r="H262" s="2" t="s">
        <v>28</v>
      </c>
      <c r="I262" s="2" t="s">
        <v>11</v>
      </c>
      <c r="J262" s="2" t="s">
        <v>106</v>
      </c>
      <c r="K262" s="2" t="s">
        <v>85</v>
      </c>
      <c r="L262" s="2" t="s">
        <v>86</v>
      </c>
      <c r="M262" s="2" t="s">
        <v>32</v>
      </c>
      <c r="N262" s="3">
        <v>0</v>
      </c>
      <c r="O262" s="2" t="s">
        <v>33</v>
      </c>
      <c r="P262" s="2" t="s">
        <v>368</v>
      </c>
      <c r="Q262" s="4">
        <v>45925</v>
      </c>
      <c r="R262" s="4">
        <v>45985</v>
      </c>
      <c r="S262" s="3">
        <v>-127</v>
      </c>
      <c r="T262" s="5">
        <v>0</v>
      </c>
      <c r="U262" s="2" t="s">
        <v>20</v>
      </c>
      <c r="V262" s="5">
        <v>379425.55</v>
      </c>
      <c r="W262" s="5">
        <v>379425.55</v>
      </c>
      <c r="X262" s="5">
        <v>107436198.79000001</v>
      </c>
    </row>
    <row r="263" spans="1:24" outlineLevel="3">
      <c r="A263" s="2" t="s">
        <v>342</v>
      </c>
      <c r="B263" s="3">
        <v>900369941</v>
      </c>
      <c r="C263" s="3">
        <v>0</v>
      </c>
      <c r="D263" s="2" t="s">
        <v>343</v>
      </c>
      <c r="E263" s="2">
        <v>4444950</v>
      </c>
      <c r="F263" s="2" t="s">
        <v>344</v>
      </c>
      <c r="G263" s="2" t="s">
        <v>345</v>
      </c>
      <c r="H263" s="2" t="s">
        <v>28</v>
      </c>
      <c r="I263" s="2" t="s">
        <v>11</v>
      </c>
      <c r="J263" s="2" t="s">
        <v>106</v>
      </c>
      <c r="K263" s="2" t="s">
        <v>85</v>
      </c>
      <c r="L263" s="2" t="s">
        <v>86</v>
      </c>
      <c r="M263" s="2" t="s">
        <v>32</v>
      </c>
      <c r="N263" s="3">
        <v>0</v>
      </c>
      <c r="O263" s="2" t="s">
        <v>33</v>
      </c>
      <c r="P263" s="2" t="s">
        <v>369</v>
      </c>
      <c r="Q263" s="4">
        <v>45925</v>
      </c>
      <c r="R263" s="4">
        <v>45985</v>
      </c>
      <c r="S263" s="3">
        <v>-127</v>
      </c>
      <c r="T263" s="5">
        <v>0</v>
      </c>
      <c r="U263" s="2" t="s">
        <v>20</v>
      </c>
      <c r="V263" s="5">
        <v>2528521.8199999998</v>
      </c>
      <c r="W263" s="5">
        <v>2528521.8199999998</v>
      </c>
      <c r="X263" s="5">
        <v>109964720.61</v>
      </c>
    </row>
    <row r="264" spans="1:24" outlineLevel="3">
      <c r="A264" s="2" t="s">
        <v>342</v>
      </c>
      <c r="B264" s="3">
        <v>900369941</v>
      </c>
      <c r="C264" s="3">
        <v>0</v>
      </c>
      <c r="D264" s="2" t="s">
        <v>343</v>
      </c>
      <c r="E264" s="2">
        <v>4444950</v>
      </c>
      <c r="F264" s="2" t="s">
        <v>344</v>
      </c>
      <c r="G264" s="2" t="s">
        <v>345</v>
      </c>
      <c r="H264" s="2" t="s">
        <v>28</v>
      </c>
      <c r="I264" s="2" t="s">
        <v>11</v>
      </c>
      <c r="J264" s="2" t="s">
        <v>59</v>
      </c>
      <c r="K264" s="2" t="s">
        <v>85</v>
      </c>
      <c r="L264" s="2" t="s">
        <v>86</v>
      </c>
      <c r="M264" s="2" t="s">
        <v>32</v>
      </c>
      <c r="N264" s="3">
        <v>0</v>
      </c>
      <c r="O264" s="2" t="s">
        <v>33</v>
      </c>
      <c r="P264" s="2" t="s">
        <v>370</v>
      </c>
      <c r="Q264" s="4">
        <v>46030</v>
      </c>
      <c r="R264" s="4">
        <v>46030</v>
      </c>
      <c r="S264" s="3">
        <v>-83</v>
      </c>
      <c r="T264" s="5">
        <v>0</v>
      </c>
      <c r="U264" s="2" t="s">
        <v>20</v>
      </c>
      <c r="V264" s="5">
        <v>-112524.71</v>
      </c>
      <c r="W264" s="5">
        <v>-112524.71</v>
      </c>
      <c r="X264" s="5">
        <v>109852195.90000001</v>
      </c>
    </row>
    <row r="265" spans="1:24" outlineLevel="3">
      <c r="A265" s="2" t="s">
        <v>342</v>
      </c>
      <c r="B265" s="3">
        <v>900369941</v>
      </c>
      <c r="C265" s="3">
        <v>0</v>
      </c>
      <c r="D265" s="2" t="s">
        <v>343</v>
      </c>
      <c r="E265" s="2">
        <v>4444950</v>
      </c>
      <c r="F265" s="2" t="s">
        <v>344</v>
      </c>
      <c r="G265" s="2" t="s">
        <v>345</v>
      </c>
      <c r="H265" s="2" t="s">
        <v>28</v>
      </c>
      <c r="I265" s="2" t="s">
        <v>11</v>
      </c>
      <c r="J265" s="2" t="s">
        <v>106</v>
      </c>
      <c r="K265" s="2" t="s">
        <v>85</v>
      </c>
      <c r="L265" s="2" t="s">
        <v>86</v>
      </c>
      <c r="M265" s="2" t="s">
        <v>32</v>
      </c>
      <c r="N265" s="3">
        <v>0</v>
      </c>
      <c r="O265" s="2" t="s">
        <v>33</v>
      </c>
      <c r="P265" s="2" t="s">
        <v>371</v>
      </c>
      <c r="Q265" s="4">
        <v>46006</v>
      </c>
      <c r="R265" s="4">
        <v>46067</v>
      </c>
      <c r="S265" s="3">
        <v>-47</v>
      </c>
      <c r="T265" s="5">
        <v>0</v>
      </c>
      <c r="U265" s="2" t="s">
        <v>20</v>
      </c>
      <c r="V265" s="5">
        <v>6909474.0199999996</v>
      </c>
      <c r="W265" s="5">
        <v>6909474.0199999996</v>
      </c>
      <c r="X265" s="5">
        <v>116761669.92</v>
      </c>
    </row>
    <row r="266" spans="1:24" outlineLevel="3">
      <c r="A266" s="2" t="s">
        <v>342</v>
      </c>
      <c r="B266" s="3">
        <v>900369941</v>
      </c>
      <c r="C266" s="3">
        <v>0</v>
      </c>
      <c r="D266" s="2" t="s">
        <v>343</v>
      </c>
      <c r="E266" s="2">
        <v>4444950</v>
      </c>
      <c r="F266" s="2" t="s">
        <v>344</v>
      </c>
      <c r="G266" s="2" t="s">
        <v>345</v>
      </c>
      <c r="H266" s="2" t="s">
        <v>28</v>
      </c>
      <c r="I266" s="2" t="s">
        <v>11</v>
      </c>
      <c r="J266" s="2" t="s">
        <v>59</v>
      </c>
      <c r="K266" s="2" t="s">
        <v>85</v>
      </c>
      <c r="L266" s="2" t="s">
        <v>86</v>
      </c>
      <c r="M266" s="2" t="s">
        <v>32</v>
      </c>
      <c r="N266" s="3">
        <v>0</v>
      </c>
      <c r="O266" s="2" t="s">
        <v>33</v>
      </c>
      <c r="P266" s="2" t="s">
        <v>372</v>
      </c>
      <c r="Q266" s="4">
        <v>46069</v>
      </c>
      <c r="R266" s="4">
        <v>46069</v>
      </c>
      <c r="S266" s="3">
        <v>-45</v>
      </c>
      <c r="T266" s="5">
        <v>0</v>
      </c>
      <c r="U266" s="2" t="s">
        <v>20</v>
      </c>
      <c r="V266" s="5">
        <v>-177309</v>
      </c>
      <c r="W266" s="5">
        <v>-177309</v>
      </c>
      <c r="X266" s="5">
        <v>116584360.92</v>
      </c>
    </row>
    <row r="267" spans="1:24" outlineLevel="2">
      <c r="M267" s="14" t="s">
        <v>742</v>
      </c>
      <c r="T267" s="5">
        <f>SUBTOTAL(9,T240:T266)</f>
        <v>0</v>
      </c>
      <c r="V267" s="5">
        <f>SUBTOTAL(9,V240:V266)</f>
        <v>116584360.92</v>
      </c>
      <c r="W267" s="5">
        <f>SUBTOTAL(9,W240:W266)</f>
        <v>116584360.92</v>
      </c>
    </row>
    <row r="268" spans="1:24" outlineLevel="1">
      <c r="A268" s="14" t="s">
        <v>712</v>
      </c>
      <c r="T268" s="5">
        <f>SUBTOTAL(9,T240:T266)</f>
        <v>0</v>
      </c>
      <c r="V268" s="5">
        <f>SUBTOTAL(9,V240:V266)</f>
        <v>116584360.92</v>
      </c>
      <c r="W268" s="5">
        <f>SUBTOTAL(9,W240:W266)</f>
        <v>116584360.92</v>
      </c>
    </row>
    <row r="269" spans="1:24" outlineLevel="3">
      <c r="A269" s="2" t="s">
        <v>373</v>
      </c>
      <c r="B269" s="3">
        <v>900388839</v>
      </c>
      <c r="C269" s="3">
        <v>0</v>
      </c>
      <c r="D269" s="2" t="s">
        <v>374</v>
      </c>
      <c r="E269" s="2">
        <v>6053314005</v>
      </c>
      <c r="F269" s="2" t="s">
        <v>375</v>
      </c>
      <c r="G269" s="2" t="s">
        <v>254</v>
      </c>
      <c r="H269" s="2" t="s">
        <v>28</v>
      </c>
      <c r="I269" s="2" t="s">
        <v>11</v>
      </c>
      <c r="J269" s="2" t="s">
        <v>67</v>
      </c>
      <c r="K269" s="2" t="s">
        <v>47</v>
      </c>
      <c r="L269" s="2" t="s">
        <v>48</v>
      </c>
      <c r="M269" s="2" t="s">
        <v>32</v>
      </c>
      <c r="N269" s="3">
        <v>0</v>
      </c>
      <c r="O269" s="2" t="s">
        <v>33</v>
      </c>
      <c r="P269" s="2" t="s">
        <v>376</v>
      </c>
      <c r="Q269" s="4">
        <v>46083</v>
      </c>
      <c r="R269" s="4">
        <v>46114</v>
      </c>
      <c r="S269" s="3">
        <v>1</v>
      </c>
      <c r="T269" s="5">
        <v>0</v>
      </c>
      <c r="U269" s="2" t="s">
        <v>58</v>
      </c>
      <c r="V269" s="5">
        <v>26218920</v>
      </c>
      <c r="W269" s="5">
        <v>0</v>
      </c>
      <c r="X269" s="5">
        <v>0</v>
      </c>
    </row>
    <row r="270" spans="1:24" outlineLevel="3">
      <c r="A270" s="2" t="s">
        <v>373</v>
      </c>
      <c r="B270" s="3">
        <v>900388839</v>
      </c>
      <c r="C270" s="3">
        <v>0</v>
      </c>
      <c r="D270" s="2" t="s">
        <v>374</v>
      </c>
      <c r="E270" s="2">
        <v>6053314005</v>
      </c>
      <c r="F270" s="2" t="s">
        <v>375</v>
      </c>
      <c r="G270" s="2" t="s">
        <v>254</v>
      </c>
      <c r="H270" s="2" t="s">
        <v>28</v>
      </c>
      <c r="I270" s="2" t="s">
        <v>11</v>
      </c>
      <c r="J270" s="2" t="s">
        <v>67</v>
      </c>
      <c r="K270" s="2" t="s">
        <v>47</v>
      </c>
      <c r="L270" s="2" t="s">
        <v>48</v>
      </c>
      <c r="M270" s="2" t="s">
        <v>32</v>
      </c>
      <c r="N270" s="3">
        <v>0</v>
      </c>
      <c r="O270" s="2" t="s">
        <v>33</v>
      </c>
      <c r="P270" s="2" t="s">
        <v>377</v>
      </c>
      <c r="Q270" s="4">
        <v>46106</v>
      </c>
      <c r="R270" s="4">
        <v>46137</v>
      </c>
      <c r="S270" s="3">
        <v>24</v>
      </c>
      <c r="T270" s="5">
        <v>0</v>
      </c>
      <c r="U270" s="2" t="s">
        <v>58</v>
      </c>
      <c r="V270" s="5">
        <v>25834380</v>
      </c>
      <c r="W270" s="5">
        <v>0</v>
      </c>
      <c r="X270" s="5">
        <v>0</v>
      </c>
    </row>
    <row r="271" spans="1:24" outlineLevel="2">
      <c r="M271" s="14" t="s">
        <v>742</v>
      </c>
      <c r="T271" s="5">
        <f>SUBTOTAL(9,T269:T270)</f>
        <v>0</v>
      </c>
      <c r="V271" s="5">
        <f>SUBTOTAL(9,V269:V270)</f>
        <v>52053300</v>
      </c>
      <c r="W271" s="5">
        <f>SUBTOTAL(9,W269:W270)</f>
        <v>0</v>
      </c>
    </row>
    <row r="272" spans="1:24" outlineLevel="1">
      <c r="A272" s="14" t="s">
        <v>713</v>
      </c>
      <c r="T272" s="5">
        <f>SUBTOTAL(9,T269:T270)</f>
        <v>0</v>
      </c>
      <c r="V272" s="5">
        <f>SUBTOTAL(9,V269:V270)</f>
        <v>52053300</v>
      </c>
      <c r="W272" s="5">
        <f>SUBTOTAL(9,W269:W270)</f>
        <v>0</v>
      </c>
    </row>
    <row r="273" spans="1:24" outlineLevel="3">
      <c r="A273" s="2" t="s">
        <v>378</v>
      </c>
      <c r="B273" s="3">
        <v>900398299</v>
      </c>
      <c r="C273" s="3">
        <v>0</v>
      </c>
      <c r="D273" s="2" t="s">
        <v>379</v>
      </c>
      <c r="E273" s="2">
        <v>2741022</v>
      </c>
      <c r="F273" s="2" t="s">
        <v>380</v>
      </c>
      <c r="G273" s="2" t="s">
        <v>381</v>
      </c>
      <c r="H273" s="2" t="s">
        <v>28</v>
      </c>
      <c r="I273" s="2" t="s">
        <v>11</v>
      </c>
      <c r="J273" s="2" t="s">
        <v>67</v>
      </c>
      <c r="K273" s="2" t="s">
        <v>47</v>
      </c>
      <c r="L273" s="2" t="s">
        <v>48</v>
      </c>
      <c r="M273" s="2" t="s">
        <v>32</v>
      </c>
      <c r="N273" s="3">
        <v>0</v>
      </c>
      <c r="O273" s="2" t="s">
        <v>33</v>
      </c>
      <c r="P273" s="2" t="s">
        <v>382</v>
      </c>
      <c r="Q273" s="4">
        <v>46086</v>
      </c>
      <c r="R273" s="4">
        <v>46131</v>
      </c>
      <c r="S273" s="3">
        <v>18</v>
      </c>
      <c r="T273" s="5">
        <v>0</v>
      </c>
      <c r="U273" s="2" t="s">
        <v>58</v>
      </c>
      <c r="V273" s="5">
        <v>9265245</v>
      </c>
      <c r="W273" s="5">
        <v>0</v>
      </c>
      <c r="X273" s="5">
        <v>0</v>
      </c>
    </row>
    <row r="274" spans="1:24" outlineLevel="3">
      <c r="A274" s="2" t="s">
        <v>378</v>
      </c>
      <c r="B274" s="3">
        <v>900398299</v>
      </c>
      <c r="C274" s="3">
        <v>0</v>
      </c>
      <c r="D274" s="2" t="s">
        <v>379</v>
      </c>
      <c r="E274" s="2">
        <v>2741022</v>
      </c>
      <c r="F274" s="2" t="s">
        <v>380</v>
      </c>
      <c r="G274" s="2" t="s">
        <v>381</v>
      </c>
      <c r="H274" s="2" t="s">
        <v>28</v>
      </c>
      <c r="I274" s="2" t="s">
        <v>11</v>
      </c>
      <c r="J274" s="2" t="s">
        <v>67</v>
      </c>
      <c r="K274" s="2" t="s">
        <v>47</v>
      </c>
      <c r="L274" s="2" t="s">
        <v>48</v>
      </c>
      <c r="M274" s="2" t="s">
        <v>32</v>
      </c>
      <c r="N274" s="3">
        <v>0</v>
      </c>
      <c r="O274" s="2" t="s">
        <v>33</v>
      </c>
      <c r="P274" s="2" t="s">
        <v>383</v>
      </c>
      <c r="Q274" s="4">
        <v>46097</v>
      </c>
      <c r="R274" s="4">
        <v>46142</v>
      </c>
      <c r="S274" s="3">
        <v>29</v>
      </c>
      <c r="T274" s="5">
        <v>0</v>
      </c>
      <c r="U274" s="2" t="s">
        <v>58</v>
      </c>
      <c r="V274" s="5">
        <v>3344773.25</v>
      </c>
      <c r="W274" s="5">
        <v>0</v>
      </c>
      <c r="X274" s="5">
        <v>0</v>
      </c>
    </row>
    <row r="275" spans="1:24" outlineLevel="3">
      <c r="A275" s="2" t="s">
        <v>378</v>
      </c>
      <c r="B275" s="3">
        <v>900398299</v>
      </c>
      <c r="C275" s="3">
        <v>0</v>
      </c>
      <c r="D275" s="2" t="s">
        <v>379</v>
      </c>
      <c r="E275" s="2">
        <v>2741022</v>
      </c>
      <c r="F275" s="2" t="s">
        <v>380</v>
      </c>
      <c r="G275" s="2" t="s">
        <v>381</v>
      </c>
      <c r="H275" s="2" t="s">
        <v>28</v>
      </c>
      <c r="I275" s="2" t="s">
        <v>11</v>
      </c>
      <c r="J275" s="2" t="s">
        <v>67</v>
      </c>
      <c r="K275" s="2" t="s">
        <v>47</v>
      </c>
      <c r="L275" s="2" t="s">
        <v>48</v>
      </c>
      <c r="M275" s="2" t="s">
        <v>32</v>
      </c>
      <c r="N275" s="3">
        <v>0</v>
      </c>
      <c r="O275" s="2" t="s">
        <v>33</v>
      </c>
      <c r="P275" s="2" t="s">
        <v>384</v>
      </c>
      <c r="Q275" s="4">
        <v>46106</v>
      </c>
      <c r="R275" s="4">
        <v>46151</v>
      </c>
      <c r="S275" s="3">
        <v>38</v>
      </c>
      <c r="T275" s="5">
        <v>0</v>
      </c>
      <c r="U275" s="2" t="s">
        <v>58</v>
      </c>
      <c r="V275" s="5">
        <v>14942872.5</v>
      </c>
      <c r="W275" s="5">
        <v>0</v>
      </c>
      <c r="X275" s="5">
        <v>0</v>
      </c>
    </row>
    <row r="276" spans="1:24" outlineLevel="2">
      <c r="M276" s="14" t="s">
        <v>742</v>
      </c>
      <c r="T276" s="5">
        <f>SUBTOTAL(9,T273:T275)</f>
        <v>0</v>
      </c>
      <c r="V276" s="5">
        <f>SUBTOTAL(9,V273:V275)</f>
        <v>27552890.75</v>
      </c>
      <c r="W276" s="5">
        <f>SUBTOTAL(9,W273:W275)</f>
        <v>0</v>
      </c>
    </row>
    <row r="277" spans="1:24" outlineLevel="1">
      <c r="A277" s="14" t="s">
        <v>714</v>
      </c>
      <c r="T277" s="5">
        <f>SUBTOTAL(9,T273:T275)</f>
        <v>0</v>
      </c>
      <c r="V277" s="5">
        <f>SUBTOTAL(9,V273:V275)</f>
        <v>27552890.75</v>
      </c>
      <c r="W277" s="5">
        <f>SUBTOTAL(9,W273:W275)</f>
        <v>0</v>
      </c>
    </row>
    <row r="278" spans="1:24" outlineLevel="3">
      <c r="A278" s="2" t="s">
        <v>385</v>
      </c>
      <c r="B278" s="3">
        <v>900411753</v>
      </c>
      <c r="C278" s="3">
        <v>0</v>
      </c>
      <c r="D278" s="2" t="s">
        <v>386</v>
      </c>
      <c r="E278" s="2">
        <v>6107189</v>
      </c>
      <c r="F278" s="2" t="s">
        <v>387</v>
      </c>
      <c r="G278" s="2" t="s">
        <v>388</v>
      </c>
      <c r="H278" s="2" t="s">
        <v>28</v>
      </c>
      <c r="I278" s="2" t="s">
        <v>11</v>
      </c>
      <c r="J278" s="2" t="s">
        <v>54</v>
      </c>
      <c r="K278" s="2" t="s">
        <v>55</v>
      </c>
      <c r="L278" s="2" t="s">
        <v>56</v>
      </c>
      <c r="M278" s="2" t="s">
        <v>32</v>
      </c>
      <c r="N278" s="3">
        <v>0</v>
      </c>
      <c r="O278" s="2" t="s">
        <v>33</v>
      </c>
      <c r="P278" s="2" t="s">
        <v>389</v>
      </c>
      <c r="Q278" s="4">
        <v>46085</v>
      </c>
      <c r="R278" s="4">
        <v>46145</v>
      </c>
      <c r="S278" s="3">
        <v>32</v>
      </c>
      <c r="T278" s="5">
        <v>0</v>
      </c>
      <c r="U278" s="2" t="s">
        <v>58</v>
      </c>
      <c r="V278" s="5">
        <v>1176859.7</v>
      </c>
      <c r="W278" s="5">
        <v>0</v>
      </c>
      <c r="X278" s="5">
        <v>0</v>
      </c>
    </row>
    <row r="279" spans="1:24" outlineLevel="2">
      <c r="M279" s="14" t="s">
        <v>742</v>
      </c>
      <c r="T279" s="5">
        <f>SUBTOTAL(9,T278:T278)</f>
        <v>0</v>
      </c>
      <c r="V279" s="5">
        <f>SUBTOTAL(9,V278:V278)</f>
        <v>1176859.7</v>
      </c>
      <c r="W279" s="5">
        <f>SUBTOTAL(9,W278:W278)</f>
        <v>0</v>
      </c>
    </row>
    <row r="280" spans="1:24" outlineLevel="1">
      <c r="A280" s="14" t="s">
        <v>715</v>
      </c>
      <c r="T280" s="5">
        <f>SUBTOTAL(9,T278:T278)</f>
        <v>0</v>
      </c>
      <c r="V280" s="5">
        <f>SUBTOTAL(9,V278:V278)</f>
        <v>1176859.7</v>
      </c>
      <c r="W280" s="5">
        <f>SUBTOTAL(9,W278:W278)</f>
        <v>0</v>
      </c>
    </row>
    <row r="281" spans="1:24" outlineLevel="3">
      <c r="A281" s="2" t="s">
        <v>390</v>
      </c>
      <c r="B281" s="3">
        <v>900414489</v>
      </c>
      <c r="C281" s="3">
        <v>0</v>
      </c>
      <c r="D281" s="2" t="s">
        <v>391</v>
      </c>
      <c r="E281" s="2">
        <v>2671481</v>
      </c>
      <c r="F281" s="2" t="s">
        <v>392</v>
      </c>
      <c r="G281" s="2" t="s">
        <v>38</v>
      </c>
      <c r="H281" s="2" t="s">
        <v>28</v>
      </c>
      <c r="I281" s="2" t="s">
        <v>11</v>
      </c>
      <c r="J281" s="2" t="s">
        <v>141</v>
      </c>
      <c r="K281" s="2" t="s">
        <v>47</v>
      </c>
      <c r="L281" s="2" t="s">
        <v>48</v>
      </c>
      <c r="M281" s="2" t="s">
        <v>32</v>
      </c>
      <c r="N281" s="3">
        <v>0</v>
      </c>
      <c r="O281" s="2" t="s">
        <v>33</v>
      </c>
      <c r="P281" s="2" t="s">
        <v>393</v>
      </c>
      <c r="Q281" s="4">
        <v>46071</v>
      </c>
      <c r="R281" s="4">
        <v>46129</v>
      </c>
      <c r="S281" s="3">
        <v>16</v>
      </c>
      <c r="T281" s="5">
        <v>0</v>
      </c>
      <c r="U281" s="2" t="s">
        <v>58</v>
      </c>
      <c r="V281" s="5">
        <v>975263.52</v>
      </c>
      <c r="W281" s="5">
        <v>0</v>
      </c>
      <c r="X281" s="5">
        <v>0</v>
      </c>
    </row>
    <row r="282" spans="1:24" outlineLevel="2">
      <c r="M282" s="14" t="s">
        <v>742</v>
      </c>
      <c r="T282" s="5">
        <f>SUBTOTAL(9,T281:T281)</f>
        <v>0</v>
      </c>
      <c r="V282" s="5">
        <f>SUBTOTAL(9,V281:V281)</f>
        <v>975263.52</v>
      </c>
      <c r="W282" s="5">
        <f>SUBTOTAL(9,W281:W281)</f>
        <v>0</v>
      </c>
    </row>
    <row r="283" spans="1:24" outlineLevel="1">
      <c r="A283" s="14" t="s">
        <v>716</v>
      </c>
      <c r="T283" s="5">
        <f>SUBTOTAL(9,T281:T281)</f>
        <v>0</v>
      </c>
      <c r="V283" s="5">
        <f>SUBTOTAL(9,V281:V281)</f>
        <v>975263.52</v>
      </c>
      <c r="W283" s="5">
        <f>SUBTOTAL(9,W281:W281)</f>
        <v>0</v>
      </c>
    </row>
    <row r="284" spans="1:24" outlineLevel="3">
      <c r="A284" s="2" t="s">
        <v>394</v>
      </c>
      <c r="B284" s="3">
        <v>900417990</v>
      </c>
      <c r="C284" s="3">
        <v>0</v>
      </c>
      <c r="D284" s="2" t="s">
        <v>395</v>
      </c>
      <c r="E284" s="2">
        <v>4842310</v>
      </c>
      <c r="F284" s="2" t="s">
        <v>396</v>
      </c>
      <c r="G284" s="2" t="s">
        <v>38</v>
      </c>
      <c r="H284" s="2" t="s">
        <v>28</v>
      </c>
      <c r="I284" s="2" t="s">
        <v>11</v>
      </c>
      <c r="J284" s="2" t="s">
        <v>397</v>
      </c>
      <c r="K284" s="2" t="s">
        <v>398</v>
      </c>
      <c r="L284" s="2" t="s">
        <v>399</v>
      </c>
      <c r="M284" s="2" t="s">
        <v>32</v>
      </c>
      <c r="N284" s="3">
        <v>0</v>
      </c>
      <c r="O284" s="2" t="s">
        <v>33</v>
      </c>
      <c r="P284" s="2" t="s">
        <v>400</v>
      </c>
      <c r="Q284" s="4">
        <v>42860</v>
      </c>
      <c r="R284" s="4">
        <v>42920</v>
      </c>
      <c r="S284" s="3">
        <v>-3147</v>
      </c>
      <c r="T284" s="5">
        <v>0</v>
      </c>
      <c r="U284" s="2" t="s">
        <v>20</v>
      </c>
      <c r="V284" s="5">
        <v>1245122.8400000001</v>
      </c>
      <c r="W284" s="5">
        <v>1245122.8400000001</v>
      </c>
      <c r="X284" s="5">
        <v>1245122.8400000001</v>
      </c>
    </row>
    <row r="285" spans="1:24" outlineLevel="3">
      <c r="A285" s="2" t="s">
        <v>394</v>
      </c>
      <c r="B285" s="3">
        <v>900417990</v>
      </c>
      <c r="C285" s="3">
        <v>0</v>
      </c>
      <c r="D285" s="2" t="s">
        <v>395</v>
      </c>
      <c r="E285" s="2">
        <v>4842310</v>
      </c>
      <c r="F285" s="2" t="s">
        <v>396</v>
      </c>
      <c r="G285" s="2" t="s">
        <v>38</v>
      </c>
      <c r="H285" s="2" t="s">
        <v>28</v>
      </c>
      <c r="I285" s="2" t="s">
        <v>11</v>
      </c>
      <c r="J285" s="2" t="s">
        <v>397</v>
      </c>
      <c r="K285" s="2" t="s">
        <v>398</v>
      </c>
      <c r="L285" s="2" t="s">
        <v>399</v>
      </c>
      <c r="M285" s="2" t="s">
        <v>32</v>
      </c>
      <c r="N285" s="3">
        <v>0</v>
      </c>
      <c r="O285" s="2" t="s">
        <v>33</v>
      </c>
      <c r="P285" s="2" t="s">
        <v>401</v>
      </c>
      <c r="Q285" s="4">
        <v>42866</v>
      </c>
      <c r="R285" s="4">
        <v>42926</v>
      </c>
      <c r="S285" s="3">
        <v>-3141</v>
      </c>
      <c r="T285" s="5">
        <v>0</v>
      </c>
      <c r="U285" s="2" t="s">
        <v>20</v>
      </c>
      <c r="V285" s="5">
        <v>238595</v>
      </c>
      <c r="W285" s="5">
        <v>238595</v>
      </c>
      <c r="X285" s="5">
        <v>1483717.84</v>
      </c>
    </row>
    <row r="286" spans="1:24" outlineLevel="3">
      <c r="A286" s="2" t="s">
        <v>394</v>
      </c>
      <c r="B286" s="3">
        <v>900417990</v>
      </c>
      <c r="C286" s="3">
        <v>0</v>
      </c>
      <c r="D286" s="2" t="s">
        <v>395</v>
      </c>
      <c r="E286" s="2">
        <v>4842310</v>
      </c>
      <c r="F286" s="2" t="s">
        <v>396</v>
      </c>
      <c r="G286" s="2" t="s">
        <v>38</v>
      </c>
      <c r="H286" s="2" t="s">
        <v>28</v>
      </c>
      <c r="I286" s="2" t="s">
        <v>11</v>
      </c>
      <c r="J286" s="2" t="s">
        <v>397</v>
      </c>
      <c r="K286" s="2" t="s">
        <v>398</v>
      </c>
      <c r="L286" s="2" t="s">
        <v>399</v>
      </c>
      <c r="M286" s="2" t="s">
        <v>32</v>
      </c>
      <c r="N286" s="3">
        <v>0</v>
      </c>
      <c r="O286" s="2" t="s">
        <v>33</v>
      </c>
      <c r="P286" s="2" t="s">
        <v>402</v>
      </c>
      <c r="Q286" s="4">
        <v>42870</v>
      </c>
      <c r="R286" s="4">
        <v>42930</v>
      </c>
      <c r="S286" s="3">
        <v>-3137</v>
      </c>
      <c r="T286" s="5">
        <v>0</v>
      </c>
      <c r="U286" s="2" t="s">
        <v>20</v>
      </c>
      <c r="V286" s="5">
        <v>1984407.32</v>
      </c>
      <c r="W286" s="5">
        <v>1984407.32</v>
      </c>
      <c r="X286" s="5">
        <v>3468125.16</v>
      </c>
    </row>
    <row r="287" spans="1:24" outlineLevel="3">
      <c r="A287" s="2" t="s">
        <v>394</v>
      </c>
      <c r="B287" s="3">
        <v>900417990</v>
      </c>
      <c r="C287" s="3">
        <v>0</v>
      </c>
      <c r="D287" s="2" t="s">
        <v>395</v>
      </c>
      <c r="E287" s="2">
        <v>4842310</v>
      </c>
      <c r="F287" s="2" t="s">
        <v>396</v>
      </c>
      <c r="G287" s="2" t="s">
        <v>38</v>
      </c>
      <c r="H287" s="2" t="s">
        <v>28</v>
      </c>
      <c r="I287" s="2" t="s">
        <v>11</v>
      </c>
      <c r="J287" s="2" t="s">
        <v>397</v>
      </c>
      <c r="K287" s="2" t="s">
        <v>398</v>
      </c>
      <c r="L287" s="2" t="s">
        <v>399</v>
      </c>
      <c r="M287" s="2" t="s">
        <v>32</v>
      </c>
      <c r="N287" s="3">
        <v>0</v>
      </c>
      <c r="O287" s="2" t="s">
        <v>33</v>
      </c>
      <c r="P287" s="2" t="s">
        <v>403</v>
      </c>
      <c r="Q287" s="4">
        <v>42872</v>
      </c>
      <c r="R287" s="4">
        <v>42932</v>
      </c>
      <c r="S287" s="3">
        <v>-3135</v>
      </c>
      <c r="T287" s="5">
        <v>0</v>
      </c>
      <c r="U287" s="2" t="s">
        <v>20</v>
      </c>
      <c r="V287" s="5">
        <v>610470</v>
      </c>
      <c r="W287" s="5">
        <v>610470</v>
      </c>
      <c r="X287" s="5">
        <v>4078595.16</v>
      </c>
    </row>
    <row r="288" spans="1:24" outlineLevel="3">
      <c r="A288" s="2" t="s">
        <v>394</v>
      </c>
      <c r="B288" s="3">
        <v>900417990</v>
      </c>
      <c r="C288" s="3">
        <v>0</v>
      </c>
      <c r="D288" s="2" t="s">
        <v>395</v>
      </c>
      <c r="E288" s="2">
        <v>4842310</v>
      </c>
      <c r="F288" s="2" t="s">
        <v>396</v>
      </c>
      <c r="G288" s="2" t="s">
        <v>38</v>
      </c>
      <c r="H288" s="2" t="s">
        <v>28</v>
      </c>
      <c r="I288" s="2" t="s">
        <v>11</v>
      </c>
      <c r="J288" s="2" t="s">
        <v>397</v>
      </c>
      <c r="K288" s="2" t="s">
        <v>398</v>
      </c>
      <c r="L288" s="2" t="s">
        <v>399</v>
      </c>
      <c r="M288" s="2" t="s">
        <v>32</v>
      </c>
      <c r="N288" s="3">
        <v>0</v>
      </c>
      <c r="O288" s="2" t="s">
        <v>33</v>
      </c>
      <c r="P288" s="2" t="s">
        <v>404</v>
      </c>
      <c r="Q288" s="4">
        <v>42887</v>
      </c>
      <c r="R288" s="4">
        <v>42946</v>
      </c>
      <c r="S288" s="3">
        <v>-3121</v>
      </c>
      <c r="T288" s="5">
        <v>0</v>
      </c>
      <c r="U288" s="2" t="s">
        <v>20</v>
      </c>
      <c r="V288" s="5">
        <v>597796.5</v>
      </c>
      <c r="W288" s="5">
        <v>597796.5</v>
      </c>
      <c r="X288" s="5">
        <v>4676391.66</v>
      </c>
    </row>
    <row r="289" spans="1:24" outlineLevel="3">
      <c r="A289" s="2" t="s">
        <v>394</v>
      </c>
      <c r="B289" s="3">
        <v>900417990</v>
      </c>
      <c r="C289" s="3">
        <v>0</v>
      </c>
      <c r="D289" s="2" t="s">
        <v>395</v>
      </c>
      <c r="E289" s="2">
        <v>4842310</v>
      </c>
      <c r="F289" s="2" t="s">
        <v>396</v>
      </c>
      <c r="G289" s="2" t="s">
        <v>38</v>
      </c>
      <c r="H289" s="2" t="s">
        <v>28</v>
      </c>
      <c r="I289" s="2" t="s">
        <v>11</v>
      </c>
      <c r="J289" s="2" t="s">
        <v>397</v>
      </c>
      <c r="K289" s="2" t="s">
        <v>398</v>
      </c>
      <c r="L289" s="2" t="s">
        <v>399</v>
      </c>
      <c r="M289" s="2" t="s">
        <v>32</v>
      </c>
      <c r="N289" s="3">
        <v>0</v>
      </c>
      <c r="O289" s="2" t="s">
        <v>33</v>
      </c>
      <c r="P289" s="2" t="s">
        <v>405</v>
      </c>
      <c r="Q289" s="4">
        <v>42901</v>
      </c>
      <c r="R289" s="4">
        <v>42961</v>
      </c>
      <c r="S289" s="3">
        <v>-3107</v>
      </c>
      <c r="T289" s="5">
        <v>0</v>
      </c>
      <c r="U289" s="2" t="s">
        <v>20</v>
      </c>
      <c r="V289" s="5">
        <v>354144</v>
      </c>
      <c r="W289" s="5">
        <v>354144</v>
      </c>
      <c r="X289" s="5">
        <v>5030535.66</v>
      </c>
    </row>
    <row r="290" spans="1:24" outlineLevel="3">
      <c r="A290" s="2" t="s">
        <v>394</v>
      </c>
      <c r="B290" s="3">
        <v>900417990</v>
      </c>
      <c r="C290" s="3">
        <v>0</v>
      </c>
      <c r="D290" s="2" t="s">
        <v>395</v>
      </c>
      <c r="E290" s="2">
        <v>4842310</v>
      </c>
      <c r="F290" s="2" t="s">
        <v>396</v>
      </c>
      <c r="G290" s="2" t="s">
        <v>38</v>
      </c>
      <c r="H290" s="2" t="s">
        <v>28</v>
      </c>
      <c r="I290" s="2" t="s">
        <v>11</v>
      </c>
      <c r="J290" s="2" t="s">
        <v>397</v>
      </c>
      <c r="K290" s="2" t="s">
        <v>398</v>
      </c>
      <c r="L290" s="2" t="s">
        <v>399</v>
      </c>
      <c r="M290" s="2" t="s">
        <v>32</v>
      </c>
      <c r="N290" s="3">
        <v>0</v>
      </c>
      <c r="O290" s="2" t="s">
        <v>33</v>
      </c>
      <c r="P290" s="2" t="s">
        <v>406</v>
      </c>
      <c r="Q290" s="4">
        <v>42920</v>
      </c>
      <c r="R290" s="4">
        <v>42981</v>
      </c>
      <c r="S290" s="3">
        <v>-3088</v>
      </c>
      <c r="T290" s="5">
        <v>0</v>
      </c>
      <c r="U290" s="2" t="s">
        <v>20</v>
      </c>
      <c r="V290" s="5">
        <v>566440</v>
      </c>
      <c r="W290" s="5">
        <v>566440</v>
      </c>
      <c r="X290" s="5">
        <v>5596975.6600000001</v>
      </c>
    </row>
    <row r="291" spans="1:24" outlineLevel="3">
      <c r="A291" s="2" t="s">
        <v>394</v>
      </c>
      <c r="B291" s="3">
        <v>900417990</v>
      </c>
      <c r="C291" s="3">
        <v>0</v>
      </c>
      <c r="D291" s="2" t="s">
        <v>395</v>
      </c>
      <c r="E291" s="2">
        <v>4842310</v>
      </c>
      <c r="F291" s="2" t="s">
        <v>396</v>
      </c>
      <c r="G291" s="2" t="s">
        <v>38</v>
      </c>
      <c r="H291" s="2" t="s">
        <v>28</v>
      </c>
      <c r="I291" s="2" t="s">
        <v>11</v>
      </c>
      <c r="J291" s="2" t="s">
        <v>397</v>
      </c>
      <c r="K291" s="2" t="s">
        <v>398</v>
      </c>
      <c r="L291" s="2" t="s">
        <v>399</v>
      </c>
      <c r="M291" s="2" t="s">
        <v>32</v>
      </c>
      <c r="N291" s="3">
        <v>0</v>
      </c>
      <c r="O291" s="2" t="s">
        <v>33</v>
      </c>
      <c r="P291" s="2" t="s">
        <v>407</v>
      </c>
      <c r="Q291" s="4">
        <v>42921</v>
      </c>
      <c r="R291" s="4">
        <v>42982</v>
      </c>
      <c r="S291" s="3">
        <v>-3087</v>
      </c>
      <c r="T291" s="5">
        <v>0</v>
      </c>
      <c r="U291" s="2" t="s">
        <v>20</v>
      </c>
      <c r="V291" s="5">
        <v>1867684.26</v>
      </c>
      <c r="W291" s="5">
        <v>1867684.26</v>
      </c>
      <c r="X291" s="5">
        <v>7464659.9199999999</v>
      </c>
    </row>
    <row r="292" spans="1:24" outlineLevel="3">
      <c r="A292" s="2" t="s">
        <v>394</v>
      </c>
      <c r="B292" s="3">
        <v>900417990</v>
      </c>
      <c r="C292" s="3">
        <v>0</v>
      </c>
      <c r="D292" s="2" t="s">
        <v>395</v>
      </c>
      <c r="E292" s="2">
        <v>4842310</v>
      </c>
      <c r="F292" s="2" t="s">
        <v>396</v>
      </c>
      <c r="G292" s="2" t="s">
        <v>38</v>
      </c>
      <c r="H292" s="2" t="s">
        <v>28</v>
      </c>
      <c r="I292" s="2" t="s">
        <v>11</v>
      </c>
      <c r="J292" s="2" t="s">
        <v>397</v>
      </c>
      <c r="K292" s="2" t="s">
        <v>398</v>
      </c>
      <c r="L292" s="2" t="s">
        <v>399</v>
      </c>
      <c r="M292" s="2" t="s">
        <v>32</v>
      </c>
      <c r="N292" s="3">
        <v>0</v>
      </c>
      <c r="O292" s="2" t="s">
        <v>33</v>
      </c>
      <c r="P292" s="2" t="s">
        <v>408</v>
      </c>
      <c r="Q292" s="4">
        <v>42934</v>
      </c>
      <c r="R292" s="4">
        <v>42995</v>
      </c>
      <c r="S292" s="3">
        <v>-3074</v>
      </c>
      <c r="T292" s="5">
        <v>0</v>
      </c>
      <c r="U292" s="2" t="s">
        <v>20</v>
      </c>
      <c r="V292" s="5">
        <v>525385</v>
      </c>
      <c r="W292" s="5">
        <v>525385</v>
      </c>
      <c r="X292" s="5">
        <v>7990044.9199999999</v>
      </c>
    </row>
    <row r="293" spans="1:24" outlineLevel="2">
      <c r="M293" s="14" t="s">
        <v>742</v>
      </c>
      <c r="T293" s="5">
        <f>SUBTOTAL(9,T284:T292)</f>
        <v>0</v>
      </c>
      <c r="V293" s="5">
        <f>SUBTOTAL(9,V284:V292)</f>
        <v>7990044.9199999999</v>
      </c>
      <c r="W293" s="5">
        <f>SUBTOTAL(9,W284:W292)</f>
        <v>7990044.9199999999</v>
      </c>
    </row>
    <row r="294" spans="1:24" outlineLevel="1">
      <c r="A294" s="14" t="s">
        <v>717</v>
      </c>
      <c r="T294" s="5">
        <f>SUBTOTAL(9,T284:T292)</f>
        <v>0</v>
      </c>
      <c r="V294" s="5">
        <f>SUBTOTAL(9,V284:V292)</f>
        <v>7990044.9199999999</v>
      </c>
      <c r="W294" s="5">
        <f>SUBTOTAL(9,W284:W292)</f>
        <v>7990044.9199999999</v>
      </c>
    </row>
    <row r="295" spans="1:24" outlineLevel="3">
      <c r="A295" s="2" t="s">
        <v>409</v>
      </c>
      <c r="B295" s="3">
        <v>900457919</v>
      </c>
      <c r="C295" s="3">
        <v>0</v>
      </c>
      <c r="D295" s="2" t="s">
        <v>410</v>
      </c>
      <c r="E295" s="2">
        <v>4482884</v>
      </c>
      <c r="F295" s="2" t="s">
        <v>411</v>
      </c>
      <c r="G295" s="2" t="s">
        <v>157</v>
      </c>
      <c r="H295" s="2" t="s">
        <v>28</v>
      </c>
      <c r="I295" s="2" t="s">
        <v>11</v>
      </c>
      <c r="J295" s="2" t="s">
        <v>29</v>
      </c>
      <c r="K295" s="2" t="s">
        <v>85</v>
      </c>
      <c r="L295" s="2" t="s">
        <v>86</v>
      </c>
      <c r="M295" s="2" t="s">
        <v>32</v>
      </c>
      <c r="N295" s="3">
        <v>0</v>
      </c>
      <c r="O295" s="2" t="s">
        <v>33</v>
      </c>
      <c r="P295" s="2" t="s">
        <v>412</v>
      </c>
      <c r="Q295" s="4">
        <v>44882</v>
      </c>
      <c r="R295" s="4">
        <v>44942</v>
      </c>
      <c r="S295" s="3">
        <v>-1155</v>
      </c>
      <c r="T295" s="5">
        <v>0</v>
      </c>
      <c r="U295" s="2" t="s">
        <v>20</v>
      </c>
      <c r="V295" s="5">
        <v>0</v>
      </c>
      <c r="W295" s="5">
        <v>0</v>
      </c>
      <c r="X295" s="5">
        <v>0</v>
      </c>
    </row>
    <row r="296" spans="1:24" outlineLevel="3">
      <c r="A296" s="2" t="s">
        <v>409</v>
      </c>
      <c r="B296" s="3">
        <v>900457919</v>
      </c>
      <c r="C296" s="3">
        <v>0</v>
      </c>
      <c r="D296" s="2" t="s">
        <v>410</v>
      </c>
      <c r="E296" s="2">
        <v>4482884</v>
      </c>
      <c r="F296" s="2" t="s">
        <v>411</v>
      </c>
      <c r="G296" s="2" t="s">
        <v>157</v>
      </c>
      <c r="H296" s="2" t="s">
        <v>28</v>
      </c>
      <c r="I296" s="2" t="s">
        <v>11</v>
      </c>
      <c r="J296" s="2" t="s">
        <v>29</v>
      </c>
      <c r="K296" s="2" t="s">
        <v>85</v>
      </c>
      <c r="L296" s="2" t="s">
        <v>86</v>
      </c>
      <c r="M296" s="2" t="s">
        <v>32</v>
      </c>
      <c r="N296" s="3">
        <v>0</v>
      </c>
      <c r="O296" s="2" t="s">
        <v>33</v>
      </c>
      <c r="P296" s="2" t="s">
        <v>413</v>
      </c>
      <c r="Q296" s="4">
        <v>44883</v>
      </c>
      <c r="R296" s="4">
        <v>44943</v>
      </c>
      <c r="S296" s="3">
        <v>-1154</v>
      </c>
      <c r="T296" s="5">
        <v>0</v>
      </c>
      <c r="U296" s="2" t="s">
        <v>20</v>
      </c>
      <c r="V296" s="5">
        <v>0</v>
      </c>
      <c r="W296" s="5">
        <v>0</v>
      </c>
      <c r="X296" s="5">
        <v>0</v>
      </c>
    </row>
    <row r="297" spans="1:24" outlineLevel="3">
      <c r="A297" s="2" t="s">
        <v>409</v>
      </c>
      <c r="B297" s="3">
        <v>900457919</v>
      </c>
      <c r="C297" s="3">
        <v>0</v>
      </c>
      <c r="D297" s="2" t="s">
        <v>410</v>
      </c>
      <c r="E297" s="2">
        <v>4482884</v>
      </c>
      <c r="F297" s="2" t="s">
        <v>411</v>
      </c>
      <c r="G297" s="2" t="s">
        <v>157</v>
      </c>
      <c r="H297" s="2" t="s">
        <v>28</v>
      </c>
      <c r="I297" s="2" t="s">
        <v>11</v>
      </c>
      <c r="J297" s="2" t="s">
        <v>29</v>
      </c>
      <c r="K297" s="2" t="s">
        <v>85</v>
      </c>
      <c r="L297" s="2" t="s">
        <v>86</v>
      </c>
      <c r="M297" s="2" t="s">
        <v>32</v>
      </c>
      <c r="N297" s="3">
        <v>0</v>
      </c>
      <c r="O297" s="2" t="s">
        <v>33</v>
      </c>
      <c r="P297" s="2" t="s">
        <v>414</v>
      </c>
      <c r="Q297" s="4">
        <v>44909</v>
      </c>
      <c r="R297" s="4">
        <v>44970</v>
      </c>
      <c r="S297" s="3">
        <v>-1128</v>
      </c>
      <c r="T297" s="5">
        <v>0</v>
      </c>
      <c r="U297" s="2" t="s">
        <v>20</v>
      </c>
      <c r="V297" s="5">
        <v>0</v>
      </c>
      <c r="W297" s="5">
        <v>0</v>
      </c>
      <c r="X297" s="5">
        <v>0</v>
      </c>
    </row>
    <row r="298" spans="1:24" outlineLevel="3">
      <c r="A298" s="2" t="s">
        <v>409</v>
      </c>
      <c r="B298" s="3">
        <v>900457919</v>
      </c>
      <c r="C298" s="3">
        <v>0</v>
      </c>
      <c r="D298" s="2" t="s">
        <v>410</v>
      </c>
      <c r="E298" s="2">
        <v>4482884</v>
      </c>
      <c r="F298" s="2" t="s">
        <v>411</v>
      </c>
      <c r="G298" s="2" t="s">
        <v>157</v>
      </c>
      <c r="H298" s="2" t="s">
        <v>28</v>
      </c>
      <c r="I298" s="2" t="s">
        <v>11</v>
      </c>
      <c r="J298" s="2" t="s">
        <v>59</v>
      </c>
      <c r="K298" s="2" t="s">
        <v>85</v>
      </c>
      <c r="L298" s="2" t="s">
        <v>86</v>
      </c>
      <c r="M298" s="2" t="s">
        <v>32</v>
      </c>
      <c r="N298" s="3">
        <v>0</v>
      </c>
      <c r="O298" s="2" t="s">
        <v>33</v>
      </c>
      <c r="P298" s="2" t="s">
        <v>415</v>
      </c>
      <c r="Q298" s="4">
        <v>45846</v>
      </c>
      <c r="R298" s="4">
        <v>45846</v>
      </c>
      <c r="S298" s="3">
        <v>-263</v>
      </c>
      <c r="T298" s="5">
        <v>0</v>
      </c>
      <c r="U298" s="2" t="s">
        <v>20</v>
      </c>
      <c r="V298" s="5">
        <v>0</v>
      </c>
      <c r="W298" s="5">
        <v>0</v>
      </c>
      <c r="X298" s="5">
        <v>0</v>
      </c>
    </row>
    <row r="299" spans="1:24" outlineLevel="3">
      <c r="A299" s="2" t="s">
        <v>409</v>
      </c>
      <c r="B299" s="3">
        <v>900457919</v>
      </c>
      <c r="C299" s="3">
        <v>0</v>
      </c>
      <c r="D299" s="2" t="s">
        <v>410</v>
      </c>
      <c r="E299" s="2">
        <v>4482884</v>
      </c>
      <c r="F299" s="2" t="s">
        <v>411</v>
      </c>
      <c r="G299" s="2" t="s">
        <v>157</v>
      </c>
      <c r="H299" s="2" t="s">
        <v>28</v>
      </c>
      <c r="I299" s="2" t="s">
        <v>11</v>
      </c>
      <c r="J299" s="2" t="s">
        <v>59</v>
      </c>
      <c r="K299" s="2" t="s">
        <v>85</v>
      </c>
      <c r="L299" s="2" t="s">
        <v>86</v>
      </c>
      <c r="M299" s="2" t="s">
        <v>32</v>
      </c>
      <c r="N299" s="3">
        <v>0</v>
      </c>
      <c r="O299" s="2" t="s">
        <v>33</v>
      </c>
      <c r="P299" s="2" t="s">
        <v>416</v>
      </c>
      <c r="Q299" s="4">
        <v>45842</v>
      </c>
      <c r="R299" s="4">
        <v>45903</v>
      </c>
      <c r="S299" s="3">
        <v>-208</v>
      </c>
      <c r="T299" s="5">
        <v>0</v>
      </c>
      <c r="U299" s="2" t="s">
        <v>20</v>
      </c>
      <c r="V299" s="5">
        <v>0</v>
      </c>
      <c r="W299" s="5">
        <v>0</v>
      </c>
      <c r="X299" s="5">
        <v>0</v>
      </c>
    </row>
    <row r="300" spans="1:24" outlineLevel="3">
      <c r="A300" s="2" t="s">
        <v>409</v>
      </c>
      <c r="B300" s="3">
        <v>900457919</v>
      </c>
      <c r="C300" s="3">
        <v>0</v>
      </c>
      <c r="D300" s="2" t="s">
        <v>410</v>
      </c>
      <c r="E300" s="2">
        <v>4482884</v>
      </c>
      <c r="F300" s="2" t="s">
        <v>411</v>
      </c>
      <c r="G300" s="2" t="s">
        <v>157</v>
      </c>
      <c r="H300" s="2" t="s">
        <v>28</v>
      </c>
      <c r="I300" s="2" t="s">
        <v>11</v>
      </c>
      <c r="J300" s="2" t="s">
        <v>106</v>
      </c>
      <c r="K300" s="2" t="s">
        <v>85</v>
      </c>
      <c r="L300" s="2" t="s">
        <v>86</v>
      </c>
      <c r="M300" s="2" t="s">
        <v>32</v>
      </c>
      <c r="N300" s="3">
        <v>0</v>
      </c>
      <c r="O300" s="2" t="s">
        <v>33</v>
      </c>
      <c r="P300" s="2" t="s">
        <v>417</v>
      </c>
      <c r="Q300" s="4">
        <v>46057</v>
      </c>
      <c r="R300" s="4">
        <v>46115</v>
      </c>
      <c r="S300" s="3">
        <v>2</v>
      </c>
      <c r="T300" s="5">
        <v>0</v>
      </c>
      <c r="U300" s="2" t="s">
        <v>58</v>
      </c>
      <c r="V300" s="5">
        <v>10625027.17</v>
      </c>
      <c r="W300" s="5">
        <v>0</v>
      </c>
      <c r="X300" s="5">
        <v>0</v>
      </c>
    </row>
    <row r="301" spans="1:24" outlineLevel="3">
      <c r="A301" s="2" t="s">
        <v>409</v>
      </c>
      <c r="B301" s="3">
        <v>900457919</v>
      </c>
      <c r="C301" s="3">
        <v>0</v>
      </c>
      <c r="D301" s="2" t="s">
        <v>410</v>
      </c>
      <c r="E301" s="2">
        <v>4482884</v>
      </c>
      <c r="F301" s="2" t="s">
        <v>411</v>
      </c>
      <c r="G301" s="2" t="s">
        <v>157</v>
      </c>
      <c r="H301" s="2" t="s">
        <v>28</v>
      </c>
      <c r="I301" s="2" t="s">
        <v>11</v>
      </c>
      <c r="J301" s="2" t="s">
        <v>106</v>
      </c>
      <c r="K301" s="2" t="s">
        <v>85</v>
      </c>
      <c r="L301" s="2" t="s">
        <v>86</v>
      </c>
      <c r="M301" s="2" t="s">
        <v>32</v>
      </c>
      <c r="N301" s="3">
        <v>0</v>
      </c>
      <c r="O301" s="2" t="s">
        <v>33</v>
      </c>
      <c r="P301" s="2" t="s">
        <v>418</v>
      </c>
      <c r="Q301" s="4">
        <v>46062</v>
      </c>
      <c r="R301" s="4">
        <v>46120</v>
      </c>
      <c r="S301" s="3">
        <v>7</v>
      </c>
      <c r="T301" s="5">
        <v>0</v>
      </c>
      <c r="U301" s="2" t="s">
        <v>58</v>
      </c>
      <c r="V301" s="5">
        <v>9856552.3800000008</v>
      </c>
      <c r="W301" s="5">
        <v>0</v>
      </c>
      <c r="X301" s="5">
        <v>0</v>
      </c>
    </row>
    <row r="302" spans="1:24" outlineLevel="3">
      <c r="A302" s="2" t="s">
        <v>409</v>
      </c>
      <c r="B302" s="3">
        <v>900457919</v>
      </c>
      <c r="C302" s="3">
        <v>0</v>
      </c>
      <c r="D302" s="2" t="s">
        <v>410</v>
      </c>
      <c r="E302" s="2">
        <v>4482884</v>
      </c>
      <c r="F302" s="2" t="s">
        <v>411</v>
      </c>
      <c r="G302" s="2" t="s">
        <v>157</v>
      </c>
      <c r="H302" s="2" t="s">
        <v>28</v>
      </c>
      <c r="I302" s="2" t="s">
        <v>11</v>
      </c>
      <c r="J302" s="2" t="s">
        <v>106</v>
      </c>
      <c r="K302" s="2" t="s">
        <v>85</v>
      </c>
      <c r="L302" s="2" t="s">
        <v>86</v>
      </c>
      <c r="M302" s="2" t="s">
        <v>32</v>
      </c>
      <c r="N302" s="3">
        <v>0</v>
      </c>
      <c r="O302" s="2" t="s">
        <v>33</v>
      </c>
      <c r="P302" s="2" t="s">
        <v>419</v>
      </c>
      <c r="Q302" s="4">
        <v>46072</v>
      </c>
      <c r="R302" s="4">
        <v>46130</v>
      </c>
      <c r="S302" s="3">
        <v>17</v>
      </c>
      <c r="T302" s="5">
        <v>0</v>
      </c>
      <c r="U302" s="2" t="s">
        <v>58</v>
      </c>
      <c r="V302" s="5">
        <v>6999710.2599999998</v>
      </c>
      <c r="W302" s="5">
        <v>0</v>
      </c>
      <c r="X302" s="5">
        <v>0</v>
      </c>
    </row>
    <row r="303" spans="1:24" outlineLevel="3">
      <c r="A303" s="2" t="s">
        <v>409</v>
      </c>
      <c r="B303" s="3">
        <v>900457919</v>
      </c>
      <c r="C303" s="3">
        <v>0</v>
      </c>
      <c r="D303" s="2" t="s">
        <v>410</v>
      </c>
      <c r="E303" s="2">
        <v>4482884</v>
      </c>
      <c r="F303" s="2" t="s">
        <v>411</v>
      </c>
      <c r="G303" s="2" t="s">
        <v>157</v>
      </c>
      <c r="H303" s="2" t="s">
        <v>28</v>
      </c>
      <c r="I303" s="2" t="s">
        <v>11</v>
      </c>
      <c r="J303" s="2" t="s">
        <v>106</v>
      </c>
      <c r="K303" s="2" t="s">
        <v>85</v>
      </c>
      <c r="L303" s="2" t="s">
        <v>86</v>
      </c>
      <c r="M303" s="2" t="s">
        <v>32</v>
      </c>
      <c r="N303" s="3">
        <v>0</v>
      </c>
      <c r="O303" s="2" t="s">
        <v>33</v>
      </c>
      <c r="P303" s="2" t="s">
        <v>420</v>
      </c>
      <c r="Q303" s="4">
        <v>46076</v>
      </c>
      <c r="R303" s="4">
        <v>46134</v>
      </c>
      <c r="S303" s="3">
        <v>21</v>
      </c>
      <c r="T303" s="5">
        <v>0</v>
      </c>
      <c r="U303" s="2" t="s">
        <v>58</v>
      </c>
      <c r="V303" s="5">
        <v>3589994.1</v>
      </c>
      <c r="W303" s="5">
        <v>0</v>
      </c>
      <c r="X303" s="5">
        <v>0</v>
      </c>
    </row>
    <row r="304" spans="1:24" outlineLevel="3">
      <c r="A304" s="2" t="s">
        <v>409</v>
      </c>
      <c r="B304" s="3">
        <v>900457919</v>
      </c>
      <c r="C304" s="3">
        <v>0</v>
      </c>
      <c r="D304" s="2" t="s">
        <v>410</v>
      </c>
      <c r="E304" s="2">
        <v>4482884</v>
      </c>
      <c r="F304" s="2" t="s">
        <v>411</v>
      </c>
      <c r="G304" s="2" t="s">
        <v>157</v>
      </c>
      <c r="H304" s="2" t="s">
        <v>28</v>
      </c>
      <c r="I304" s="2" t="s">
        <v>11</v>
      </c>
      <c r="J304" s="2" t="s">
        <v>106</v>
      </c>
      <c r="K304" s="2" t="s">
        <v>85</v>
      </c>
      <c r="L304" s="2" t="s">
        <v>86</v>
      </c>
      <c r="M304" s="2" t="s">
        <v>32</v>
      </c>
      <c r="N304" s="3">
        <v>0</v>
      </c>
      <c r="O304" s="2" t="s">
        <v>33</v>
      </c>
      <c r="P304" s="2" t="s">
        <v>421</v>
      </c>
      <c r="Q304" s="4">
        <v>46083</v>
      </c>
      <c r="R304" s="4">
        <v>46143</v>
      </c>
      <c r="S304" s="3">
        <v>30</v>
      </c>
      <c r="T304" s="5">
        <v>0</v>
      </c>
      <c r="U304" s="2" t="s">
        <v>58</v>
      </c>
      <c r="V304" s="5">
        <v>20499957.43</v>
      </c>
      <c r="W304" s="5">
        <v>0</v>
      </c>
      <c r="X304" s="5">
        <v>0</v>
      </c>
    </row>
    <row r="305" spans="1:24" outlineLevel="3">
      <c r="A305" s="2" t="s">
        <v>409</v>
      </c>
      <c r="B305" s="3">
        <v>900457919</v>
      </c>
      <c r="C305" s="3">
        <v>0</v>
      </c>
      <c r="D305" s="2" t="s">
        <v>410</v>
      </c>
      <c r="E305" s="2">
        <v>4482884</v>
      </c>
      <c r="F305" s="2" t="s">
        <v>411</v>
      </c>
      <c r="G305" s="2" t="s">
        <v>157</v>
      </c>
      <c r="H305" s="2" t="s">
        <v>28</v>
      </c>
      <c r="I305" s="2" t="s">
        <v>11</v>
      </c>
      <c r="J305" s="2" t="s">
        <v>106</v>
      </c>
      <c r="K305" s="2" t="s">
        <v>85</v>
      </c>
      <c r="L305" s="2" t="s">
        <v>86</v>
      </c>
      <c r="M305" s="2" t="s">
        <v>32</v>
      </c>
      <c r="N305" s="3">
        <v>0</v>
      </c>
      <c r="O305" s="2" t="s">
        <v>33</v>
      </c>
      <c r="P305" s="2" t="s">
        <v>422</v>
      </c>
      <c r="Q305" s="4">
        <v>46091</v>
      </c>
      <c r="R305" s="4">
        <v>46151</v>
      </c>
      <c r="S305" s="3">
        <v>38</v>
      </c>
      <c r="T305" s="5">
        <v>0</v>
      </c>
      <c r="U305" s="2" t="s">
        <v>58</v>
      </c>
      <c r="V305" s="5">
        <v>1553131.4</v>
      </c>
      <c r="W305" s="5">
        <v>0</v>
      </c>
      <c r="X305" s="5">
        <v>0</v>
      </c>
    </row>
    <row r="306" spans="1:24" outlineLevel="3">
      <c r="A306" s="2" t="s">
        <v>409</v>
      </c>
      <c r="B306" s="3">
        <v>900457919</v>
      </c>
      <c r="C306" s="3">
        <v>0</v>
      </c>
      <c r="D306" s="2" t="s">
        <v>410</v>
      </c>
      <c r="E306" s="2">
        <v>4482884</v>
      </c>
      <c r="F306" s="2" t="s">
        <v>411</v>
      </c>
      <c r="G306" s="2" t="s">
        <v>157</v>
      </c>
      <c r="H306" s="2" t="s">
        <v>28</v>
      </c>
      <c r="I306" s="2" t="s">
        <v>11</v>
      </c>
      <c r="J306" s="2" t="s">
        <v>106</v>
      </c>
      <c r="K306" s="2" t="s">
        <v>85</v>
      </c>
      <c r="L306" s="2" t="s">
        <v>86</v>
      </c>
      <c r="M306" s="2" t="s">
        <v>32</v>
      </c>
      <c r="N306" s="3">
        <v>0</v>
      </c>
      <c r="O306" s="2" t="s">
        <v>33</v>
      </c>
      <c r="P306" s="2" t="s">
        <v>423</v>
      </c>
      <c r="Q306" s="4">
        <v>46097</v>
      </c>
      <c r="R306" s="4">
        <v>46157</v>
      </c>
      <c r="S306" s="3">
        <v>44</v>
      </c>
      <c r="T306" s="5">
        <v>0</v>
      </c>
      <c r="U306" s="2" t="s">
        <v>58</v>
      </c>
      <c r="V306" s="5">
        <v>837262.2</v>
      </c>
      <c r="W306" s="5">
        <v>0</v>
      </c>
      <c r="X306" s="5">
        <v>0</v>
      </c>
    </row>
    <row r="307" spans="1:24" outlineLevel="3">
      <c r="A307" s="2" t="s">
        <v>409</v>
      </c>
      <c r="B307" s="3">
        <v>900457919</v>
      </c>
      <c r="C307" s="3">
        <v>0</v>
      </c>
      <c r="D307" s="2" t="s">
        <v>410</v>
      </c>
      <c r="E307" s="2">
        <v>4482884</v>
      </c>
      <c r="F307" s="2" t="s">
        <v>411</v>
      </c>
      <c r="G307" s="2" t="s">
        <v>157</v>
      </c>
      <c r="H307" s="2" t="s">
        <v>28</v>
      </c>
      <c r="I307" s="2" t="s">
        <v>11</v>
      </c>
      <c r="J307" s="2" t="s">
        <v>106</v>
      </c>
      <c r="K307" s="2" t="s">
        <v>85</v>
      </c>
      <c r="L307" s="2" t="s">
        <v>86</v>
      </c>
      <c r="M307" s="2" t="s">
        <v>32</v>
      </c>
      <c r="N307" s="3">
        <v>0</v>
      </c>
      <c r="O307" s="2" t="s">
        <v>33</v>
      </c>
      <c r="P307" s="2" t="s">
        <v>424</v>
      </c>
      <c r="Q307" s="4">
        <v>46099</v>
      </c>
      <c r="R307" s="4">
        <v>46159</v>
      </c>
      <c r="S307" s="3">
        <v>46</v>
      </c>
      <c r="T307" s="5">
        <v>0</v>
      </c>
      <c r="U307" s="2" t="s">
        <v>58</v>
      </c>
      <c r="V307" s="5">
        <v>26476454.039999999</v>
      </c>
      <c r="W307" s="5">
        <v>0</v>
      </c>
      <c r="X307" s="5">
        <v>0</v>
      </c>
    </row>
    <row r="308" spans="1:24" outlineLevel="3">
      <c r="A308" s="2" t="s">
        <v>409</v>
      </c>
      <c r="B308" s="3">
        <v>900457919</v>
      </c>
      <c r="C308" s="3">
        <v>0</v>
      </c>
      <c r="D308" s="2" t="s">
        <v>410</v>
      </c>
      <c r="E308" s="2">
        <v>4482884</v>
      </c>
      <c r="F308" s="2" t="s">
        <v>411</v>
      </c>
      <c r="G308" s="2" t="s">
        <v>157</v>
      </c>
      <c r="H308" s="2" t="s">
        <v>28</v>
      </c>
      <c r="I308" s="2" t="s">
        <v>11</v>
      </c>
      <c r="J308" s="2" t="s">
        <v>106</v>
      </c>
      <c r="K308" s="2" t="s">
        <v>85</v>
      </c>
      <c r="L308" s="2" t="s">
        <v>86</v>
      </c>
      <c r="M308" s="2" t="s">
        <v>32</v>
      </c>
      <c r="N308" s="3">
        <v>0</v>
      </c>
      <c r="O308" s="2" t="s">
        <v>33</v>
      </c>
      <c r="P308" s="2" t="s">
        <v>425</v>
      </c>
      <c r="Q308" s="4">
        <v>46106</v>
      </c>
      <c r="R308" s="4">
        <v>46166</v>
      </c>
      <c r="S308" s="3">
        <v>53</v>
      </c>
      <c r="T308" s="5">
        <v>0</v>
      </c>
      <c r="U308" s="2" t="s">
        <v>58</v>
      </c>
      <c r="V308" s="5">
        <v>18181962.760000002</v>
      </c>
      <c r="W308" s="5">
        <v>0</v>
      </c>
      <c r="X308" s="5">
        <v>0</v>
      </c>
    </row>
    <row r="309" spans="1:24" outlineLevel="2">
      <c r="M309" s="14" t="s">
        <v>742</v>
      </c>
      <c r="T309" s="5">
        <f>SUBTOTAL(9,T295:T308)</f>
        <v>0</v>
      </c>
      <c r="V309" s="5">
        <f>SUBTOTAL(9,V295:V308)</f>
        <v>98620051.74000001</v>
      </c>
      <c r="W309" s="5">
        <f>SUBTOTAL(9,W295:W308)</f>
        <v>0</v>
      </c>
    </row>
    <row r="310" spans="1:24" outlineLevel="1">
      <c r="A310" s="14" t="s">
        <v>718</v>
      </c>
      <c r="T310" s="5">
        <f>SUBTOTAL(9,T295:T308)</f>
        <v>0</v>
      </c>
      <c r="V310" s="5">
        <f>SUBTOTAL(9,V295:V308)</f>
        <v>98620051.74000001</v>
      </c>
      <c r="W310" s="5">
        <f>SUBTOTAL(9,W295:W308)</f>
        <v>0</v>
      </c>
    </row>
    <row r="311" spans="1:24" outlineLevel="3">
      <c r="A311" s="2" t="s">
        <v>426</v>
      </c>
      <c r="B311" s="3">
        <v>900466275</v>
      </c>
      <c r="C311" s="3">
        <v>0</v>
      </c>
      <c r="D311" s="2" t="s">
        <v>427</v>
      </c>
      <c r="E311" s="2">
        <v>5898888</v>
      </c>
      <c r="F311" s="2" t="s">
        <v>428</v>
      </c>
      <c r="G311" s="2" t="s">
        <v>157</v>
      </c>
      <c r="H311" s="2" t="s">
        <v>28</v>
      </c>
      <c r="I311" s="2" t="s">
        <v>11</v>
      </c>
      <c r="J311" s="2" t="s">
        <v>54</v>
      </c>
      <c r="K311" s="2" t="s">
        <v>55</v>
      </c>
      <c r="L311" s="2" t="s">
        <v>56</v>
      </c>
      <c r="M311" s="2" t="s">
        <v>32</v>
      </c>
      <c r="N311" s="3">
        <v>0</v>
      </c>
      <c r="O311" s="2" t="s">
        <v>33</v>
      </c>
      <c r="P311" s="2" t="s">
        <v>429</v>
      </c>
      <c r="Q311" s="4">
        <v>46106</v>
      </c>
      <c r="R311" s="4">
        <v>46166</v>
      </c>
      <c r="S311" s="3">
        <v>53</v>
      </c>
      <c r="T311" s="5">
        <v>0</v>
      </c>
      <c r="U311" s="2" t="s">
        <v>58</v>
      </c>
      <c r="V311" s="5">
        <v>12574184.01</v>
      </c>
      <c r="W311" s="5">
        <v>0</v>
      </c>
      <c r="X311" s="5">
        <v>0</v>
      </c>
    </row>
    <row r="312" spans="1:24" outlineLevel="3">
      <c r="A312" s="2" t="s">
        <v>426</v>
      </c>
      <c r="B312" s="3">
        <v>900466275</v>
      </c>
      <c r="C312" s="3">
        <v>0</v>
      </c>
      <c r="D312" s="2" t="s">
        <v>427</v>
      </c>
      <c r="E312" s="2">
        <v>5898888</v>
      </c>
      <c r="F312" s="2" t="s">
        <v>428</v>
      </c>
      <c r="G312" s="2" t="s">
        <v>157</v>
      </c>
      <c r="H312" s="2" t="s">
        <v>28</v>
      </c>
      <c r="I312" s="2" t="s">
        <v>11</v>
      </c>
      <c r="J312" s="2" t="s">
        <v>54</v>
      </c>
      <c r="K312" s="2" t="s">
        <v>55</v>
      </c>
      <c r="L312" s="2" t="s">
        <v>56</v>
      </c>
      <c r="M312" s="2" t="s">
        <v>32</v>
      </c>
      <c r="N312" s="3">
        <v>0</v>
      </c>
      <c r="O312" s="2" t="s">
        <v>33</v>
      </c>
      <c r="P312" s="2" t="s">
        <v>430</v>
      </c>
      <c r="Q312" s="4">
        <v>46107</v>
      </c>
      <c r="R312" s="4">
        <v>46167</v>
      </c>
      <c r="S312" s="3">
        <v>54</v>
      </c>
      <c r="T312" s="5">
        <v>0</v>
      </c>
      <c r="U312" s="2" t="s">
        <v>58</v>
      </c>
      <c r="V312" s="5">
        <v>2231627.4</v>
      </c>
      <c r="W312" s="5">
        <v>0</v>
      </c>
      <c r="X312" s="5">
        <v>0</v>
      </c>
    </row>
    <row r="313" spans="1:24" outlineLevel="2">
      <c r="M313" s="14" t="s">
        <v>742</v>
      </c>
      <c r="T313" s="5">
        <f>SUBTOTAL(9,T311:T312)</f>
        <v>0</v>
      </c>
      <c r="V313" s="5">
        <f>SUBTOTAL(9,V311:V312)</f>
        <v>14805811.41</v>
      </c>
      <c r="W313" s="5">
        <f>SUBTOTAL(9,W311:W312)</f>
        <v>0</v>
      </c>
    </row>
    <row r="314" spans="1:24" outlineLevel="1">
      <c r="A314" s="14" t="s">
        <v>719</v>
      </c>
      <c r="T314" s="5">
        <f>SUBTOTAL(9,T311:T312)</f>
        <v>0</v>
      </c>
      <c r="V314" s="5">
        <f>SUBTOTAL(9,V311:V312)</f>
        <v>14805811.41</v>
      </c>
      <c r="W314" s="5">
        <f>SUBTOTAL(9,W311:W312)</f>
        <v>0</v>
      </c>
    </row>
    <row r="315" spans="1:24" outlineLevel="3">
      <c r="A315" s="2" t="s">
        <v>431</v>
      </c>
      <c r="B315" s="3">
        <v>900564535</v>
      </c>
      <c r="C315" s="3">
        <v>0</v>
      </c>
      <c r="D315" s="2" t="s">
        <v>432</v>
      </c>
      <c r="E315" s="2">
        <v>3148764178</v>
      </c>
      <c r="F315" s="2" t="s">
        <v>433</v>
      </c>
      <c r="G315" s="2" t="s">
        <v>434</v>
      </c>
      <c r="H315" s="2" t="s">
        <v>28</v>
      </c>
      <c r="I315" s="2" t="s">
        <v>11</v>
      </c>
      <c r="J315" s="2" t="s">
        <v>228</v>
      </c>
      <c r="K315" s="2" t="s">
        <v>47</v>
      </c>
      <c r="L315" s="2" t="s">
        <v>48</v>
      </c>
      <c r="M315" s="2" t="s">
        <v>32</v>
      </c>
      <c r="N315" s="3">
        <v>0</v>
      </c>
      <c r="O315" s="2" t="s">
        <v>33</v>
      </c>
      <c r="P315" s="2" t="s">
        <v>435</v>
      </c>
      <c r="Q315" s="4">
        <v>44291</v>
      </c>
      <c r="R315" s="4">
        <v>44382</v>
      </c>
      <c r="S315" s="3">
        <v>-1706</v>
      </c>
      <c r="T315" s="5">
        <v>0</v>
      </c>
      <c r="U315" s="2" t="s">
        <v>20</v>
      </c>
      <c r="V315" s="5">
        <v>92656.56</v>
      </c>
      <c r="W315" s="5">
        <v>92656.56</v>
      </c>
      <c r="X315" s="5">
        <v>92656.56</v>
      </c>
    </row>
    <row r="316" spans="1:24" outlineLevel="3">
      <c r="A316" s="2" t="s">
        <v>431</v>
      </c>
      <c r="B316" s="3">
        <v>900564535</v>
      </c>
      <c r="C316" s="3">
        <v>0</v>
      </c>
      <c r="D316" s="2" t="s">
        <v>432</v>
      </c>
      <c r="E316" s="2">
        <v>3148764178</v>
      </c>
      <c r="F316" s="2" t="s">
        <v>433</v>
      </c>
      <c r="G316" s="2" t="s">
        <v>434</v>
      </c>
      <c r="H316" s="2" t="s">
        <v>28</v>
      </c>
      <c r="I316" s="2" t="s">
        <v>11</v>
      </c>
      <c r="J316" s="2" t="s">
        <v>59</v>
      </c>
      <c r="K316" s="2" t="s">
        <v>47</v>
      </c>
      <c r="L316" s="2" t="s">
        <v>48</v>
      </c>
      <c r="M316" s="2" t="s">
        <v>32</v>
      </c>
      <c r="N316" s="3">
        <v>0</v>
      </c>
      <c r="O316" s="2" t="s">
        <v>33</v>
      </c>
      <c r="P316" s="2" t="s">
        <v>436</v>
      </c>
      <c r="Q316" s="4">
        <v>44410</v>
      </c>
      <c r="R316" s="4">
        <v>44502</v>
      </c>
      <c r="S316" s="3">
        <v>-1589</v>
      </c>
      <c r="T316" s="5">
        <v>0</v>
      </c>
      <c r="U316" s="2" t="s">
        <v>20</v>
      </c>
      <c r="V316" s="5">
        <v>2002910</v>
      </c>
      <c r="W316" s="5">
        <v>2002910</v>
      </c>
      <c r="X316" s="5">
        <v>2095566.56</v>
      </c>
    </row>
    <row r="317" spans="1:24" outlineLevel="3">
      <c r="A317" s="2" t="s">
        <v>431</v>
      </c>
      <c r="B317" s="3">
        <v>900564535</v>
      </c>
      <c r="C317" s="3">
        <v>0</v>
      </c>
      <c r="D317" s="2" t="s">
        <v>432</v>
      </c>
      <c r="E317" s="2">
        <v>3148764178</v>
      </c>
      <c r="F317" s="2" t="s">
        <v>433</v>
      </c>
      <c r="G317" s="2" t="s">
        <v>434</v>
      </c>
      <c r="H317" s="2" t="s">
        <v>28</v>
      </c>
      <c r="I317" s="2" t="s">
        <v>11</v>
      </c>
      <c r="J317" s="2" t="s">
        <v>59</v>
      </c>
      <c r="K317" s="2" t="s">
        <v>47</v>
      </c>
      <c r="L317" s="2" t="s">
        <v>48</v>
      </c>
      <c r="M317" s="2" t="s">
        <v>32</v>
      </c>
      <c r="N317" s="3">
        <v>0</v>
      </c>
      <c r="O317" s="2" t="s">
        <v>33</v>
      </c>
      <c r="P317" s="2" t="s">
        <v>437</v>
      </c>
      <c r="Q317" s="4">
        <v>44413</v>
      </c>
      <c r="R317" s="4">
        <v>44505</v>
      </c>
      <c r="S317" s="3">
        <v>-1586</v>
      </c>
      <c r="T317" s="5">
        <v>0</v>
      </c>
      <c r="U317" s="2" t="s">
        <v>20</v>
      </c>
      <c r="V317" s="5">
        <v>2701635</v>
      </c>
      <c r="W317" s="5">
        <v>2701635</v>
      </c>
      <c r="X317" s="5">
        <v>4797201.5599999996</v>
      </c>
    </row>
    <row r="318" spans="1:24" outlineLevel="3">
      <c r="A318" s="2" t="s">
        <v>431</v>
      </c>
      <c r="B318" s="3">
        <v>900564535</v>
      </c>
      <c r="C318" s="3">
        <v>0</v>
      </c>
      <c r="D318" s="2" t="s">
        <v>432</v>
      </c>
      <c r="E318" s="2">
        <v>3148764178</v>
      </c>
      <c r="F318" s="2" t="s">
        <v>433</v>
      </c>
      <c r="G318" s="2" t="s">
        <v>434</v>
      </c>
      <c r="H318" s="2" t="s">
        <v>28</v>
      </c>
      <c r="I318" s="2" t="s">
        <v>11</v>
      </c>
      <c r="J318" s="2" t="s">
        <v>59</v>
      </c>
      <c r="K318" s="2" t="s">
        <v>47</v>
      </c>
      <c r="L318" s="2" t="s">
        <v>48</v>
      </c>
      <c r="M318" s="2" t="s">
        <v>32</v>
      </c>
      <c r="N318" s="3">
        <v>0</v>
      </c>
      <c r="O318" s="2" t="s">
        <v>33</v>
      </c>
      <c r="P318" s="2" t="s">
        <v>438</v>
      </c>
      <c r="Q318" s="4">
        <v>44418</v>
      </c>
      <c r="R318" s="4">
        <v>44510</v>
      </c>
      <c r="S318" s="3">
        <v>-1581</v>
      </c>
      <c r="T318" s="5">
        <v>0</v>
      </c>
      <c r="U318" s="2" t="s">
        <v>20</v>
      </c>
      <c r="V318" s="5">
        <v>2044301.5</v>
      </c>
      <c r="W318" s="5">
        <v>2044301.5</v>
      </c>
      <c r="X318" s="5">
        <v>6841503.0599999996</v>
      </c>
    </row>
    <row r="319" spans="1:24" outlineLevel="3">
      <c r="A319" s="2" t="s">
        <v>431</v>
      </c>
      <c r="B319" s="3">
        <v>900564535</v>
      </c>
      <c r="C319" s="3">
        <v>0</v>
      </c>
      <c r="D319" s="2" t="s">
        <v>432</v>
      </c>
      <c r="E319" s="2">
        <v>3148764178</v>
      </c>
      <c r="F319" s="2" t="s">
        <v>433</v>
      </c>
      <c r="G319" s="2" t="s">
        <v>434</v>
      </c>
      <c r="H319" s="2" t="s">
        <v>28</v>
      </c>
      <c r="I319" s="2" t="s">
        <v>11</v>
      </c>
      <c r="J319" s="2" t="s">
        <v>59</v>
      </c>
      <c r="K319" s="2" t="s">
        <v>47</v>
      </c>
      <c r="L319" s="2" t="s">
        <v>48</v>
      </c>
      <c r="M319" s="2" t="s">
        <v>32</v>
      </c>
      <c r="N319" s="3">
        <v>0</v>
      </c>
      <c r="O319" s="2" t="s">
        <v>33</v>
      </c>
      <c r="P319" s="2" t="s">
        <v>439</v>
      </c>
      <c r="Q319" s="4">
        <v>44421</v>
      </c>
      <c r="R319" s="4">
        <v>44513</v>
      </c>
      <c r="S319" s="3">
        <v>-1578</v>
      </c>
      <c r="T319" s="5">
        <v>0</v>
      </c>
      <c r="U319" s="2" t="s">
        <v>20</v>
      </c>
      <c r="V319" s="5">
        <v>17609026</v>
      </c>
      <c r="W319" s="5">
        <v>17609026</v>
      </c>
      <c r="X319" s="5">
        <v>24450529.059999999</v>
      </c>
    </row>
    <row r="320" spans="1:24" outlineLevel="3">
      <c r="A320" s="2" t="s">
        <v>431</v>
      </c>
      <c r="B320" s="3">
        <v>900564535</v>
      </c>
      <c r="C320" s="3">
        <v>0</v>
      </c>
      <c r="D320" s="2" t="s">
        <v>432</v>
      </c>
      <c r="E320" s="2">
        <v>3148764178</v>
      </c>
      <c r="F320" s="2" t="s">
        <v>433</v>
      </c>
      <c r="G320" s="2" t="s">
        <v>434</v>
      </c>
      <c r="H320" s="2" t="s">
        <v>28</v>
      </c>
      <c r="I320" s="2" t="s">
        <v>11</v>
      </c>
      <c r="J320" s="2" t="s">
        <v>59</v>
      </c>
      <c r="K320" s="2" t="s">
        <v>47</v>
      </c>
      <c r="L320" s="2" t="s">
        <v>48</v>
      </c>
      <c r="M320" s="2" t="s">
        <v>32</v>
      </c>
      <c r="N320" s="3">
        <v>0</v>
      </c>
      <c r="O320" s="2" t="s">
        <v>33</v>
      </c>
      <c r="P320" s="2" t="s">
        <v>440</v>
      </c>
      <c r="Q320" s="4">
        <v>44426</v>
      </c>
      <c r="R320" s="4">
        <v>44518</v>
      </c>
      <c r="S320" s="3">
        <v>-1573</v>
      </c>
      <c r="T320" s="5">
        <v>0</v>
      </c>
      <c r="U320" s="2" t="s">
        <v>20</v>
      </c>
      <c r="V320" s="5">
        <v>4531850</v>
      </c>
      <c r="W320" s="5">
        <v>4531850</v>
      </c>
      <c r="X320" s="5">
        <v>28982379.059999999</v>
      </c>
    </row>
    <row r="321" spans="1:24" outlineLevel="3">
      <c r="A321" s="2" t="s">
        <v>431</v>
      </c>
      <c r="B321" s="3">
        <v>900564535</v>
      </c>
      <c r="C321" s="3">
        <v>0</v>
      </c>
      <c r="D321" s="2" t="s">
        <v>432</v>
      </c>
      <c r="E321" s="2">
        <v>3148764178</v>
      </c>
      <c r="F321" s="2" t="s">
        <v>433</v>
      </c>
      <c r="G321" s="2" t="s">
        <v>434</v>
      </c>
      <c r="H321" s="2" t="s">
        <v>28</v>
      </c>
      <c r="I321" s="2" t="s">
        <v>11</v>
      </c>
      <c r="J321" s="2" t="s">
        <v>59</v>
      </c>
      <c r="K321" s="2" t="s">
        <v>47</v>
      </c>
      <c r="L321" s="2" t="s">
        <v>48</v>
      </c>
      <c r="M321" s="2" t="s">
        <v>32</v>
      </c>
      <c r="N321" s="3">
        <v>0</v>
      </c>
      <c r="O321" s="2" t="s">
        <v>33</v>
      </c>
      <c r="P321" s="2" t="s">
        <v>441</v>
      </c>
      <c r="Q321" s="4">
        <v>44428</v>
      </c>
      <c r="R321" s="4">
        <v>44520</v>
      </c>
      <c r="S321" s="3">
        <v>-1571</v>
      </c>
      <c r="T321" s="5">
        <v>0</v>
      </c>
      <c r="U321" s="2" t="s">
        <v>20</v>
      </c>
      <c r="V321" s="5">
        <v>3234331.25</v>
      </c>
      <c r="W321" s="5">
        <v>3234331.25</v>
      </c>
      <c r="X321" s="5">
        <v>32216710.309999999</v>
      </c>
    </row>
    <row r="322" spans="1:24" outlineLevel="3">
      <c r="A322" s="2" t="s">
        <v>431</v>
      </c>
      <c r="B322" s="3">
        <v>900564535</v>
      </c>
      <c r="C322" s="3">
        <v>0</v>
      </c>
      <c r="D322" s="2" t="s">
        <v>432</v>
      </c>
      <c r="E322" s="2">
        <v>3148764178</v>
      </c>
      <c r="F322" s="2" t="s">
        <v>433</v>
      </c>
      <c r="G322" s="2" t="s">
        <v>434</v>
      </c>
      <c r="H322" s="2" t="s">
        <v>28</v>
      </c>
      <c r="I322" s="2" t="s">
        <v>11</v>
      </c>
      <c r="J322" s="2" t="s">
        <v>228</v>
      </c>
      <c r="K322" s="2" t="s">
        <v>47</v>
      </c>
      <c r="L322" s="2" t="s">
        <v>48</v>
      </c>
      <c r="M322" s="2" t="s">
        <v>32</v>
      </c>
      <c r="N322" s="3">
        <v>0</v>
      </c>
      <c r="O322" s="2" t="s">
        <v>33</v>
      </c>
      <c r="P322" s="2" t="s">
        <v>442</v>
      </c>
      <c r="Q322" s="4">
        <v>44428</v>
      </c>
      <c r="R322" s="4">
        <v>44520</v>
      </c>
      <c r="S322" s="3">
        <v>-1571</v>
      </c>
      <c r="T322" s="5">
        <v>0</v>
      </c>
      <c r="U322" s="2" t="s">
        <v>20</v>
      </c>
      <c r="V322" s="5">
        <v>1781867.5</v>
      </c>
      <c r="W322" s="5">
        <v>1781867.5</v>
      </c>
      <c r="X322" s="5">
        <v>33998577.810000002</v>
      </c>
    </row>
    <row r="323" spans="1:24" outlineLevel="3">
      <c r="A323" s="2" t="s">
        <v>431</v>
      </c>
      <c r="B323" s="3">
        <v>900564535</v>
      </c>
      <c r="C323" s="3">
        <v>0</v>
      </c>
      <c r="D323" s="2" t="s">
        <v>432</v>
      </c>
      <c r="E323" s="2">
        <v>3148764178</v>
      </c>
      <c r="F323" s="2" t="s">
        <v>433</v>
      </c>
      <c r="G323" s="2" t="s">
        <v>434</v>
      </c>
      <c r="H323" s="2" t="s">
        <v>28</v>
      </c>
      <c r="I323" s="2" t="s">
        <v>11</v>
      </c>
      <c r="J323" s="2" t="s">
        <v>59</v>
      </c>
      <c r="K323" s="2" t="s">
        <v>47</v>
      </c>
      <c r="L323" s="2" t="s">
        <v>48</v>
      </c>
      <c r="M323" s="2" t="s">
        <v>32</v>
      </c>
      <c r="N323" s="3">
        <v>0</v>
      </c>
      <c r="O323" s="2" t="s">
        <v>33</v>
      </c>
      <c r="P323" s="2" t="s">
        <v>443</v>
      </c>
      <c r="Q323" s="4">
        <v>44431</v>
      </c>
      <c r="R323" s="4">
        <v>44523</v>
      </c>
      <c r="S323" s="3">
        <v>-1568</v>
      </c>
      <c r="T323" s="5">
        <v>0</v>
      </c>
      <c r="U323" s="2" t="s">
        <v>20</v>
      </c>
      <c r="V323" s="5">
        <v>3364520</v>
      </c>
      <c r="W323" s="5">
        <v>3364520</v>
      </c>
      <c r="X323" s="5">
        <v>37363097.810000002</v>
      </c>
    </row>
    <row r="324" spans="1:24" outlineLevel="3">
      <c r="A324" s="2" t="s">
        <v>431</v>
      </c>
      <c r="B324" s="3">
        <v>900564535</v>
      </c>
      <c r="C324" s="3">
        <v>0</v>
      </c>
      <c r="D324" s="2" t="s">
        <v>432</v>
      </c>
      <c r="E324" s="2">
        <v>3148764178</v>
      </c>
      <c r="F324" s="2" t="s">
        <v>433</v>
      </c>
      <c r="G324" s="2" t="s">
        <v>434</v>
      </c>
      <c r="H324" s="2" t="s">
        <v>28</v>
      </c>
      <c r="I324" s="2" t="s">
        <v>11</v>
      </c>
      <c r="J324" s="2" t="s">
        <v>59</v>
      </c>
      <c r="K324" s="2" t="s">
        <v>47</v>
      </c>
      <c r="L324" s="2" t="s">
        <v>48</v>
      </c>
      <c r="M324" s="2" t="s">
        <v>32</v>
      </c>
      <c r="N324" s="3">
        <v>0</v>
      </c>
      <c r="O324" s="2" t="s">
        <v>33</v>
      </c>
      <c r="P324" s="2" t="s">
        <v>444</v>
      </c>
      <c r="Q324" s="4">
        <v>44434</v>
      </c>
      <c r="R324" s="4">
        <v>44526</v>
      </c>
      <c r="S324" s="3">
        <v>-1565</v>
      </c>
      <c r="T324" s="5">
        <v>0</v>
      </c>
      <c r="U324" s="2" t="s">
        <v>20</v>
      </c>
      <c r="V324" s="5">
        <v>644980</v>
      </c>
      <c r="W324" s="5">
        <v>644980</v>
      </c>
      <c r="X324" s="5">
        <v>38008077.810000002</v>
      </c>
    </row>
    <row r="325" spans="1:24" outlineLevel="3">
      <c r="A325" s="2" t="s">
        <v>431</v>
      </c>
      <c r="B325" s="3">
        <v>900564535</v>
      </c>
      <c r="C325" s="3">
        <v>0</v>
      </c>
      <c r="D325" s="2" t="s">
        <v>432</v>
      </c>
      <c r="E325" s="2">
        <v>3148764178</v>
      </c>
      <c r="F325" s="2" t="s">
        <v>433</v>
      </c>
      <c r="G325" s="2" t="s">
        <v>434</v>
      </c>
      <c r="H325" s="2" t="s">
        <v>28</v>
      </c>
      <c r="I325" s="2" t="s">
        <v>11</v>
      </c>
      <c r="J325" s="2" t="s">
        <v>59</v>
      </c>
      <c r="K325" s="2" t="s">
        <v>47</v>
      </c>
      <c r="L325" s="2" t="s">
        <v>48</v>
      </c>
      <c r="M325" s="2" t="s">
        <v>32</v>
      </c>
      <c r="N325" s="3">
        <v>0</v>
      </c>
      <c r="O325" s="2" t="s">
        <v>33</v>
      </c>
      <c r="P325" s="2" t="s">
        <v>445</v>
      </c>
      <c r="Q325" s="4">
        <v>44434</v>
      </c>
      <c r="R325" s="4">
        <v>44526</v>
      </c>
      <c r="S325" s="3">
        <v>-1565</v>
      </c>
      <c r="T325" s="5">
        <v>0</v>
      </c>
      <c r="U325" s="2" t="s">
        <v>20</v>
      </c>
      <c r="V325" s="5">
        <v>9589348</v>
      </c>
      <c r="W325" s="5">
        <v>9589348</v>
      </c>
      <c r="X325" s="5">
        <v>47597425.810000002</v>
      </c>
    </row>
    <row r="326" spans="1:24" outlineLevel="3">
      <c r="A326" s="2" t="s">
        <v>431</v>
      </c>
      <c r="B326" s="3">
        <v>900564535</v>
      </c>
      <c r="C326" s="3">
        <v>0</v>
      </c>
      <c r="D326" s="2" t="s">
        <v>432</v>
      </c>
      <c r="E326" s="2">
        <v>3148764178</v>
      </c>
      <c r="F326" s="2" t="s">
        <v>433</v>
      </c>
      <c r="G326" s="2" t="s">
        <v>434</v>
      </c>
      <c r="H326" s="2" t="s">
        <v>28</v>
      </c>
      <c r="I326" s="2" t="s">
        <v>11</v>
      </c>
      <c r="J326" s="2" t="s">
        <v>59</v>
      </c>
      <c r="K326" s="2" t="s">
        <v>47</v>
      </c>
      <c r="L326" s="2" t="s">
        <v>48</v>
      </c>
      <c r="M326" s="2" t="s">
        <v>32</v>
      </c>
      <c r="N326" s="3">
        <v>0</v>
      </c>
      <c r="O326" s="2" t="s">
        <v>33</v>
      </c>
      <c r="P326" s="2" t="s">
        <v>446</v>
      </c>
      <c r="Q326" s="4">
        <v>44434</v>
      </c>
      <c r="R326" s="4">
        <v>44526</v>
      </c>
      <c r="S326" s="3">
        <v>-1565</v>
      </c>
      <c r="T326" s="5">
        <v>0</v>
      </c>
      <c r="U326" s="2" t="s">
        <v>20</v>
      </c>
      <c r="V326" s="5">
        <v>3924885</v>
      </c>
      <c r="W326" s="5">
        <v>3924885</v>
      </c>
      <c r="X326" s="5">
        <v>51522310.810000002</v>
      </c>
    </row>
    <row r="327" spans="1:24" outlineLevel="3">
      <c r="A327" s="2" t="s">
        <v>431</v>
      </c>
      <c r="B327" s="3">
        <v>900564535</v>
      </c>
      <c r="C327" s="3">
        <v>0</v>
      </c>
      <c r="D327" s="2" t="s">
        <v>432</v>
      </c>
      <c r="E327" s="2">
        <v>3148764178</v>
      </c>
      <c r="F327" s="2" t="s">
        <v>433</v>
      </c>
      <c r="G327" s="2" t="s">
        <v>434</v>
      </c>
      <c r="H327" s="2" t="s">
        <v>28</v>
      </c>
      <c r="I327" s="2" t="s">
        <v>11</v>
      </c>
      <c r="J327" s="2" t="s">
        <v>59</v>
      </c>
      <c r="K327" s="2" t="s">
        <v>47</v>
      </c>
      <c r="L327" s="2" t="s">
        <v>48</v>
      </c>
      <c r="M327" s="2" t="s">
        <v>32</v>
      </c>
      <c r="N327" s="3">
        <v>0</v>
      </c>
      <c r="O327" s="2" t="s">
        <v>33</v>
      </c>
      <c r="P327" s="2" t="s">
        <v>447</v>
      </c>
      <c r="Q327" s="4">
        <v>44439</v>
      </c>
      <c r="R327" s="4">
        <v>44530</v>
      </c>
      <c r="S327" s="3">
        <v>-1561</v>
      </c>
      <c r="T327" s="5">
        <v>0</v>
      </c>
      <c r="U327" s="2" t="s">
        <v>20</v>
      </c>
      <c r="V327" s="5">
        <v>6797775</v>
      </c>
      <c r="W327" s="5">
        <v>6797775</v>
      </c>
      <c r="X327" s="5">
        <v>58320085.810000002</v>
      </c>
    </row>
    <row r="328" spans="1:24" outlineLevel="3">
      <c r="A328" s="2" t="s">
        <v>431</v>
      </c>
      <c r="B328" s="3">
        <v>900564535</v>
      </c>
      <c r="C328" s="3">
        <v>0</v>
      </c>
      <c r="D328" s="2" t="s">
        <v>432</v>
      </c>
      <c r="E328" s="2">
        <v>3148764178</v>
      </c>
      <c r="F328" s="2" t="s">
        <v>433</v>
      </c>
      <c r="G328" s="2" t="s">
        <v>434</v>
      </c>
      <c r="H328" s="2" t="s">
        <v>28</v>
      </c>
      <c r="I328" s="2" t="s">
        <v>11</v>
      </c>
      <c r="J328" s="2" t="s">
        <v>59</v>
      </c>
      <c r="K328" s="2" t="s">
        <v>47</v>
      </c>
      <c r="L328" s="2" t="s">
        <v>48</v>
      </c>
      <c r="M328" s="2" t="s">
        <v>32</v>
      </c>
      <c r="N328" s="3">
        <v>0</v>
      </c>
      <c r="O328" s="2" t="s">
        <v>33</v>
      </c>
      <c r="P328" s="2" t="s">
        <v>448</v>
      </c>
      <c r="Q328" s="4">
        <v>44439</v>
      </c>
      <c r="R328" s="4">
        <v>44530</v>
      </c>
      <c r="S328" s="3">
        <v>-1561</v>
      </c>
      <c r="T328" s="5">
        <v>0</v>
      </c>
      <c r="U328" s="2" t="s">
        <v>20</v>
      </c>
      <c r="V328" s="5">
        <v>1017450</v>
      </c>
      <c r="W328" s="5">
        <v>1017450</v>
      </c>
      <c r="X328" s="5">
        <v>59337535.810000002</v>
      </c>
    </row>
    <row r="329" spans="1:24" outlineLevel="3">
      <c r="A329" s="2" t="s">
        <v>431</v>
      </c>
      <c r="B329" s="3">
        <v>900564535</v>
      </c>
      <c r="C329" s="3">
        <v>0</v>
      </c>
      <c r="D329" s="2" t="s">
        <v>432</v>
      </c>
      <c r="E329" s="2">
        <v>3148764178</v>
      </c>
      <c r="F329" s="2" t="s">
        <v>433</v>
      </c>
      <c r="G329" s="2" t="s">
        <v>434</v>
      </c>
      <c r="H329" s="2" t="s">
        <v>28</v>
      </c>
      <c r="I329" s="2" t="s">
        <v>11</v>
      </c>
      <c r="J329" s="2" t="s">
        <v>59</v>
      </c>
      <c r="K329" s="2" t="s">
        <v>47</v>
      </c>
      <c r="L329" s="2" t="s">
        <v>48</v>
      </c>
      <c r="M329" s="2" t="s">
        <v>32</v>
      </c>
      <c r="N329" s="3">
        <v>0</v>
      </c>
      <c r="O329" s="2" t="s">
        <v>33</v>
      </c>
      <c r="P329" s="2" t="s">
        <v>449</v>
      </c>
      <c r="Q329" s="4">
        <v>44439</v>
      </c>
      <c r="R329" s="4">
        <v>44530</v>
      </c>
      <c r="S329" s="3">
        <v>-1561</v>
      </c>
      <c r="T329" s="5">
        <v>0</v>
      </c>
      <c r="U329" s="2" t="s">
        <v>20</v>
      </c>
      <c r="V329" s="5">
        <v>619835.30000000005</v>
      </c>
      <c r="W329" s="5">
        <v>619835.30000000005</v>
      </c>
      <c r="X329" s="5">
        <v>59957371.109999999</v>
      </c>
    </row>
    <row r="330" spans="1:24" outlineLevel="3">
      <c r="A330" s="2" t="s">
        <v>431</v>
      </c>
      <c r="B330" s="3">
        <v>900564535</v>
      </c>
      <c r="C330" s="3">
        <v>0</v>
      </c>
      <c r="D330" s="2" t="s">
        <v>432</v>
      </c>
      <c r="E330" s="2">
        <v>3148764178</v>
      </c>
      <c r="F330" s="2" t="s">
        <v>433</v>
      </c>
      <c r="G330" s="2" t="s">
        <v>434</v>
      </c>
      <c r="H330" s="2" t="s">
        <v>28</v>
      </c>
      <c r="I330" s="2" t="s">
        <v>11</v>
      </c>
      <c r="J330" s="2" t="s">
        <v>59</v>
      </c>
      <c r="K330" s="2" t="s">
        <v>47</v>
      </c>
      <c r="L330" s="2" t="s">
        <v>48</v>
      </c>
      <c r="M330" s="2" t="s">
        <v>32</v>
      </c>
      <c r="N330" s="3">
        <v>0</v>
      </c>
      <c r="O330" s="2" t="s">
        <v>33</v>
      </c>
      <c r="P330" s="2" t="s">
        <v>450</v>
      </c>
      <c r="Q330" s="4">
        <v>44439</v>
      </c>
      <c r="R330" s="4">
        <v>44530</v>
      </c>
      <c r="S330" s="3">
        <v>-1561</v>
      </c>
      <c r="T330" s="5">
        <v>0</v>
      </c>
      <c r="U330" s="2" t="s">
        <v>20</v>
      </c>
      <c r="V330" s="5">
        <v>3900420</v>
      </c>
      <c r="W330" s="5">
        <v>3900420</v>
      </c>
      <c r="X330" s="5">
        <v>63857791.109999999</v>
      </c>
    </row>
    <row r="331" spans="1:24" outlineLevel="3">
      <c r="A331" s="2" t="s">
        <v>431</v>
      </c>
      <c r="B331" s="3">
        <v>900564535</v>
      </c>
      <c r="C331" s="3">
        <v>0</v>
      </c>
      <c r="D331" s="2" t="s">
        <v>432</v>
      </c>
      <c r="E331" s="2">
        <v>3148764178</v>
      </c>
      <c r="F331" s="2" t="s">
        <v>433</v>
      </c>
      <c r="G331" s="2" t="s">
        <v>434</v>
      </c>
      <c r="H331" s="2" t="s">
        <v>28</v>
      </c>
      <c r="I331" s="2" t="s">
        <v>11</v>
      </c>
      <c r="J331" s="2" t="s">
        <v>59</v>
      </c>
      <c r="K331" s="2" t="s">
        <v>47</v>
      </c>
      <c r="L331" s="2" t="s">
        <v>48</v>
      </c>
      <c r="M331" s="2" t="s">
        <v>32</v>
      </c>
      <c r="N331" s="3">
        <v>0</v>
      </c>
      <c r="O331" s="2" t="s">
        <v>33</v>
      </c>
      <c r="P331" s="2" t="s">
        <v>451</v>
      </c>
      <c r="Q331" s="4">
        <v>44445</v>
      </c>
      <c r="R331" s="4">
        <v>44536</v>
      </c>
      <c r="S331" s="3">
        <v>-1555</v>
      </c>
      <c r="T331" s="5">
        <v>0</v>
      </c>
      <c r="U331" s="2" t="s">
        <v>20</v>
      </c>
      <c r="V331" s="5">
        <v>2229810</v>
      </c>
      <c r="W331" s="5">
        <v>2229810</v>
      </c>
      <c r="X331" s="5">
        <v>66087601.109999999</v>
      </c>
    </row>
    <row r="332" spans="1:24" outlineLevel="3">
      <c r="A332" s="2" t="s">
        <v>431</v>
      </c>
      <c r="B332" s="3">
        <v>900564535</v>
      </c>
      <c r="C332" s="3">
        <v>0</v>
      </c>
      <c r="D332" s="2" t="s">
        <v>432</v>
      </c>
      <c r="E332" s="2">
        <v>3148764178</v>
      </c>
      <c r="F332" s="2" t="s">
        <v>433</v>
      </c>
      <c r="G332" s="2" t="s">
        <v>434</v>
      </c>
      <c r="H332" s="2" t="s">
        <v>28</v>
      </c>
      <c r="I332" s="2" t="s">
        <v>11</v>
      </c>
      <c r="J332" s="2" t="s">
        <v>59</v>
      </c>
      <c r="K332" s="2" t="s">
        <v>47</v>
      </c>
      <c r="L332" s="2" t="s">
        <v>48</v>
      </c>
      <c r="M332" s="2" t="s">
        <v>32</v>
      </c>
      <c r="N332" s="3">
        <v>0</v>
      </c>
      <c r="O332" s="2" t="s">
        <v>33</v>
      </c>
      <c r="P332" s="2" t="s">
        <v>452</v>
      </c>
      <c r="Q332" s="4">
        <v>44446</v>
      </c>
      <c r="R332" s="4">
        <v>44537</v>
      </c>
      <c r="S332" s="3">
        <v>-1554</v>
      </c>
      <c r="T332" s="5">
        <v>0</v>
      </c>
      <c r="U332" s="2" t="s">
        <v>20</v>
      </c>
      <c r="V332" s="5">
        <v>1439940</v>
      </c>
      <c r="W332" s="5">
        <v>1439940</v>
      </c>
      <c r="X332" s="5">
        <v>67527541.109999999</v>
      </c>
    </row>
    <row r="333" spans="1:24" outlineLevel="3">
      <c r="A333" s="2" t="s">
        <v>431</v>
      </c>
      <c r="B333" s="3">
        <v>900564535</v>
      </c>
      <c r="C333" s="3">
        <v>0</v>
      </c>
      <c r="D333" s="2" t="s">
        <v>432</v>
      </c>
      <c r="E333" s="2">
        <v>3148764178</v>
      </c>
      <c r="F333" s="2" t="s">
        <v>433</v>
      </c>
      <c r="G333" s="2" t="s">
        <v>434</v>
      </c>
      <c r="H333" s="2" t="s">
        <v>28</v>
      </c>
      <c r="I333" s="2" t="s">
        <v>11</v>
      </c>
      <c r="J333" s="2" t="s">
        <v>59</v>
      </c>
      <c r="K333" s="2" t="s">
        <v>47</v>
      </c>
      <c r="L333" s="2" t="s">
        <v>48</v>
      </c>
      <c r="M333" s="2" t="s">
        <v>32</v>
      </c>
      <c r="N333" s="3">
        <v>0</v>
      </c>
      <c r="O333" s="2" t="s">
        <v>33</v>
      </c>
      <c r="P333" s="2" t="s">
        <v>453</v>
      </c>
      <c r="Q333" s="4">
        <v>44446</v>
      </c>
      <c r="R333" s="4">
        <v>44537</v>
      </c>
      <c r="S333" s="3">
        <v>-1554</v>
      </c>
      <c r="T333" s="5">
        <v>0</v>
      </c>
      <c r="U333" s="2" t="s">
        <v>20</v>
      </c>
      <c r="V333" s="5">
        <v>3316929.75</v>
      </c>
      <c r="W333" s="5">
        <v>3316929.75</v>
      </c>
      <c r="X333" s="5">
        <v>70844470.859999999</v>
      </c>
    </row>
    <row r="334" spans="1:24" outlineLevel="3">
      <c r="A334" s="2" t="s">
        <v>431</v>
      </c>
      <c r="B334" s="3">
        <v>900564535</v>
      </c>
      <c r="C334" s="3">
        <v>0</v>
      </c>
      <c r="D334" s="2" t="s">
        <v>432</v>
      </c>
      <c r="E334" s="2">
        <v>3148764178</v>
      </c>
      <c r="F334" s="2" t="s">
        <v>433</v>
      </c>
      <c r="G334" s="2" t="s">
        <v>434</v>
      </c>
      <c r="H334" s="2" t="s">
        <v>28</v>
      </c>
      <c r="I334" s="2" t="s">
        <v>11</v>
      </c>
      <c r="J334" s="2" t="s">
        <v>59</v>
      </c>
      <c r="K334" s="2" t="s">
        <v>47</v>
      </c>
      <c r="L334" s="2" t="s">
        <v>48</v>
      </c>
      <c r="M334" s="2" t="s">
        <v>32</v>
      </c>
      <c r="N334" s="3">
        <v>0</v>
      </c>
      <c r="O334" s="2" t="s">
        <v>33</v>
      </c>
      <c r="P334" s="2" t="s">
        <v>454</v>
      </c>
      <c r="Q334" s="4">
        <v>44446</v>
      </c>
      <c r="R334" s="4">
        <v>44537</v>
      </c>
      <c r="S334" s="3">
        <v>-1554</v>
      </c>
      <c r="T334" s="5">
        <v>0</v>
      </c>
      <c r="U334" s="2" t="s">
        <v>20</v>
      </c>
      <c r="V334" s="5">
        <v>7171740</v>
      </c>
      <c r="W334" s="5">
        <v>7171740</v>
      </c>
      <c r="X334" s="5">
        <v>78016210.859999999</v>
      </c>
    </row>
    <row r="335" spans="1:24" outlineLevel="3">
      <c r="A335" s="2" t="s">
        <v>431</v>
      </c>
      <c r="B335" s="3">
        <v>900564535</v>
      </c>
      <c r="C335" s="3">
        <v>0</v>
      </c>
      <c r="D335" s="2" t="s">
        <v>432</v>
      </c>
      <c r="E335" s="2">
        <v>3148764178</v>
      </c>
      <c r="F335" s="2" t="s">
        <v>433</v>
      </c>
      <c r="G335" s="2" t="s">
        <v>434</v>
      </c>
      <c r="H335" s="2" t="s">
        <v>28</v>
      </c>
      <c r="I335" s="2" t="s">
        <v>11</v>
      </c>
      <c r="J335" s="2" t="s">
        <v>59</v>
      </c>
      <c r="K335" s="2" t="s">
        <v>47</v>
      </c>
      <c r="L335" s="2" t="s">
        <v>48</v>
      </c>
      <c r="M335" s="2" t="s">
        <v>32</v>
      </c>
      <c r="N335" s="3">
        <v>0</v>
      </c>
      <c r="O335" s="2" t="s">
        <v>33</v>
      </c>
      <c r="P335" s="2" t="s">
        <v>455</v>
      </c>
      <c r="Q335" s="4">
        <v>44447</v>
      </c>
      <c r="R335" s="4">
        <v>44538</v>
      </c>
      <c r="S335" s="3">
        <v>-1553</v>
      </c>
      <c r="T335" s="5">
        <v>0</v>
      </c>
      <c r="U335" s="2" t="s">
        <v>20</v>
      </c>
      <c r="V335" s="5">
        <v>274711.5</v>
      </c>
      <c r="W335" s="5">
        <v>274711.5</v>
      </c>
      <c r="X335" s="5">
        <v>78290922.359999999</v>
      </c>
    </row>
    <row r="336" spans="1:24" outlineLevel="3">
      <c r="A336" s="2" t="s">
        <v>431</v>
      </c>
      <c r="B336" s="3">
        <v>900564535</v>
      </c>
      <c r="C336" s="3">
        <v>0</v>
      </c>
      <c r="D336" s="2" t="s">
        <v>432</v>
      </c>
      <c r="E336" s="2">
        <v>3148764178</v>
      </c>
      <c r="F336" s="2" t="s">
        <v>433</v>
      </c>
      <c r="G336" s="2" t="s">
        <v>434</v>
      </c>
      <c r="H336" s="2" t="s">
        <v>28</v>
      </c>
      <c r="I336" s="2" t="s">
        <v>11</v>
      </c>
      <c r="J336" s="2" t="s">
        <v>228</v>
      </c>
      <c r="K336" s="2" t="s">
        <v>47</v>
      </c>
      <c r="L336" s="2" t="s">
        <v>48</v>
      </c>
      <c r="M336" s="2" t="s">
        <v>32</v>
      </c>
      <c r="N336" s="3">
        <v>0</v>
      </c>
      <c r="O336" s="2" t="s">
        <v>33</v>
      </c>
      <c r="P336" s="2" t="s">
        <v>456</v>
      </c>
      <c r="Q336" s="4">
        <v>44449</v>
      </c>
      <c r="R336" s="4">
        <v>44540</v>
      </c>
      <c r="S336" s="3">
        <v>-1551</v>
      </c>
      <c r="T336" s="5">
        <v>0</v>
      </c>
      <c r="U336" s="2" t="s">
        <v>20</v>
      </c>
      <c r="V336" s="5">
        <v>10219729.5</v>
      </c>
      <c r="W336" s="5">
        <v>10219729.5</v>
      </c>
      <c r="X336" s="5">
        <v>88510651.859999999</v>
      </c>
    </row>
    <row r="337" spans="1:24" outlineLevel="3">
      <c r="A337" s="2" t="s">
        <v>431</v>
      </c>
      <c r="B337" s="3">
        <v>900564535</v>
      </c>
      <c r="C337" s="3">
        <v>0</v>
      </c>
      <c r="D337" s="2" t="s">
        <v>432</v>
      </c>
      <c r="E337" s="2">
        <v>3148764178</v>
      </c>
      <c r="F337" s="2" t="s">
        <v>433</v>
      </c>
      <c r="G337" s="2" t="s">
        <v>434</v>
      </c>
      <c r="H337" s="2" t="s">
        <v>28</v>
      </c>
      <c r="I337" s="2" t="s">
        <v>11</v>
      </c>
      <c r="J337" s="2" t="s">
        <v>59</v>
      </c>
      <c r="K337" s="2" t="s">
        <v>47</v>
      </c>
      <c r="L337" s="2" t="s">
        <v>48</v>
      </c>
      <c r="M337" s="2" t="s">
        <v>32</v>
      </c>
      <c r="N337" s="3">
        <v>0</v>
      </c>
      <c r="O337" s="2" t="s">
        <v>33</v>
      </c>
      <c r="P337" s="2" t="s">
        <v>457</v>
      </c>
      <c r="Q337" s="4">
        <v>44453</v>
      </c>
      <c r="R337" s="4">
        <v>44544</v>
      </c>
      <c r="S337" s="3">
        <v>-1547</v>
      </c>
      <c r="T337" s="5">
        <v>0</v>
      </c>
      <c r="U337" s="2" t="s">
        <v>20</v>
      </c>
      <c r="V337" s="5">
        <v>1632165</v>
      </c>
      <c r="W337" s="5">
        <v>1632165</v>
      </c>
      <c r="X337" s="5">
        <v>90142816.859999999</v>
      </c>
    </row>
    <row r="338" spans="1:24" outlineLevel="3">
      <c r="A338" s="2" t="s">
        <v>431</v>
      </c>
      <c r="B338" s="3">
        <v>900564535</v>
      </c>
      <c r="C338" s="3">
        <v>0</v>
      </c>
      <c r="D338" s="2" t="s">
        <v>432</v>
      </c>
      <c r="E338" s="2">
        <v>3148764178</v>
      </c>
      <c r="F338" s="2" t="s">
        <v>433</v>
      </c>
      <c r="G338" s="2" t="s">
        <v>434</v>
      </c>
      <c r="H338" s="2" t="s">
        <v>28</v>
      </c>
      <c r="I338" s="2" t="s">
        <v>11</v>
      </c>
      <c r="J338" s="2" t="s">
        <v>228</v>
      </c>
      <c r="K338" s="2" t="s">
        <v>47</v>
      </c>
      <c r="L338" s="2" t="s">
        <v>48</v>
      </c>
      <c r="M338" s="2" t="s">
        <v>32</v>
      </c>
      <c r="N338" s="3">
        <v>0</v>
      </c>
      <c r="O338" s="2" t="s">
        <v>33</v>
      </c>
      <c r="P338" s="2" t="s">
        <v>458</v>
      </c>
      <c r="Q338" s="4">
        <v>44453</v>
      </c>
      <c r="R338" s="4">
        <v>44544</v>
      </c>
      <c r="S338" s="3">
        <v>-1547</v>
      </c>
      <c r="T338" s="5">
        <v>0</v>
      </c>
      <c r="U338" s="2" t="s">
        <v>20</v>
      </c>
      <c r="V338" s="5">
        <v>1140020</v>
      </c>
      <c r="W338" s="5">
        <v>1140020</v>
      </c>
      <c r="X338" s="5">
        <v>91282836.859999999</v>
      </c>
    </row>
    <row r="339" spans="1:24" outlineLevel="3">
      <c r="A339" s="2" t="s">
        <v>431</v>
      </c>
      <c r="B339" s="3">
        <v>900564535</v>
      </c>
      <c r="C339" s="3">
        <v>0</v>
      </c>
      <c r="D339" s="2" t="s">
        <v>432</v>
      </c>
      <c r="E339" s="2">
        <v>3148764178</v>
      </c>
      <c r="F339" s="2" t="s">
        <v>433</v>
      </c>
      <c r="G339" s="2" t="s">
        <v>434</v>
      </c>
      <c r="H339" s="2" t="s">
        <v>28</v>
      </c>
      <c r="I339" s="2" t="s">
        <v>11</v>
      </c>
      <c r="J339" s="2" t="s">
        <v>59</v>
      </c>
      <c r="K339" s="2" t="s">
        <v>47</v>
      </c>
      <c r="L339" s="2" t="s">
        <v>48</v>
      </c>
      <c r="M339" s="2" t="s">
        <v>32</v>
      </c>
      <c r="N339" s="3">
        <v>0</v>
      </c>
      <c r="O339" s="2" t="s">
        <v>33</v>
      </c>
      <c r="P339" s="2" t="s">
        <v>459</v>
      </c>
      <c r="Q339" s="4">
        <v>44453</v>
      </c>
      <c r="R339" s="4">
        <v>44544</v>
      </c>
      <c r="S339" s="3">
        <v>-1547</v>
      </c>
      <c r="T339" s="5">
        <v>0</v>
      </c>
      <c r="U339" s="2" t="s">
        <v>20</v>
      </c>
      <c r="V339" s="5">
        <v>3344715</v>
      </c>
      <c r="W339" s="5">
        <v>3344715</v>
      </c>
      <c r="X339" s="5">
        <v>94627551.859999999</v>
      </c>
    </row>
    <row r="340" spans="1:24" outlineLevel="3">
      <c r="A340" s="2" t="s">
        <v>431</v>
      </c>
      <c r="B340" s="3">
        <v>900564535</v>
      </c>
      <c r="C340" s="3">
        <v>0</v>
      </c>
      <c r="D340" s="2" t="s">
        <v>432</v>
      </c>
      <c r="E340" s="2">
        <v>3148764178</v>
      </c>
      <c r="F340" s="2" t="s">
        <v>433</v>
      </c>
      <c r="G340" s="2" t="s">
        <v>434</v>
      </c>
      <c r="H340" s="2" t="s">
        <v>28</v>
      </c>
      <c r="I340" s="2" t="s">
        <v>11</v>
      </c>
      <c r="J340" s="2" t="s">
        <v>228</v>
      </c>
      <c r="K340" s="2" t="s">
        <v>47</v>
      </c>
      <c r="L340" s="2" t="s">
        <v>48</v>
      </c>
      <c r="M340" s="2" t="s">
        <v>32</v>
      </c>
      <c r="N340" s="3">
        <v>0</v>
      </c>
      <c r="O340" s="2" t="s">
        <v>33</v>
      </c>
      <c r="P340" s="2" t="s">
        <v>460</v>
      </c>
      <c r="Q340" s="4">
        <v>44454</v>
      </c>
      <c r="R340" s="4">
        <v>44545</v>
      </c>
      <c r="S340" s="3">
        <v>-1546</v>
      </c>
      <c r="T340" s="5">
        <v>0</v>
      </c>
      <c r="U340" s="2" t="s">
        <v>20</v>
      </c>
      <c r="V340" s="5">
        <v>10939058.75</v>
      </c>
      <c r="W340" s="5">
        <v>10939058.75</v>
      </c>
      <c r="X340" s="5">
        <v>105566610.61</v>
      </c>
    </row>
    <row r="341" spans="1:24" outlineLevel="3">
      <c r="A341" s="2" t="s">
        <v>431</v>
      </c>
      <c r="B341" s="3">
        <v>900564535</v>
      </c>
      <c r="C341" s="3">
        <v>0</v>
      </c>
      <c r="D341" s="2" t="s">
        <v>432</v>
      </c>
      <c r="E341" s="2">
        <v>3148764178</v>
      </c>
      <c r="F341" s="2" t="s">
        <v>433</v>
      </c>
      <c r="G341" s="2" t="s">
        <v>434</v>
      </c>
      <c r="H341" s="2" t="s">
        <v>28</v>
      </c>
      <c r="I341" s="2" t="s">
        <v>11</v>
      </c>
      <c r="J341" s="2" t="s">
        <v>228</v>
      </c>
      <c r="K341" s="2" t="s">
        <v>47</v>
      </c>
      <c r="L341" s="2" t="s">
        <v>48</v>
      </c>
      <c r="M341" s="2" t="s">
        <v>32</v>
      </c>
      <c r="N341" s="3">
        <v>0</v>
      </c>
      <c r="O341" s="2" t="s">
        <v>33</v>
      </c>
      <c r="P341" s="2" t="s">
        <v>461</v>
      </c>
      <c r="Q341" s="4">
        <v>44456</v>
      </c>
      <c r="R341" s="4">
        <v>44547</v>
      </c>
      <c r="S341" s="3">
        <v>-1544</v>
      </c>
      <c r="T341" s="5">
        <v>0</v>
      </c>
      <c r="U341" s="2" t="s">
        <v>20</v>
      </c>
      <c r="V341" s="5">
        <v>6351580</v>
      </c>
      <c r="W341" s="5">
        <v>6351580</v>
      </c>
      <c r="X341" s="5">
        <v>111918190.61</v>
      </c>
    </row>
    <row r="342" spans="1:24" outlineLevel="3">
      <c r="A342" s="2" t="s">
        <v>431</v>
      </c>
      <c r="B342" s="3">
        <v>900564535</v>
      </c>
      <c r="C342" s="3">
        <v>0</v>
      </c>
      <c r="D342" s="2" t="s">
        <v>432</v>
      </c>
      <c r="E342" s="2">
        <v>3148764178</v>
      </c>
      <c r="F342" s="2" t="s">
        <v>433</v>
      </c>
      <c r="G342" s="2" t="s">
        <v>434</v>
      </c>
      <c r="H342" s="2" t="s">
        <v>28</v>
      </c>
      <c r="I342" s="2" t="s">
        <v>11</v>
      </c>
      <c r="J342" s="2" t="s">
        <v>228</v>
      </c>
      <c r="K342" s="2" t="s">
        <v>47</v>
      </c>
      <c r="L342" s="2" t="s">
        <v>48</v>
      </c>
      <c r="M342" s="2" t="s">
        <v>32</v>
      </c>
      <c r="N342" s="3">
        <v>0</v>
      </c>
      <c r="O342" s="2" t="s">
        <v>33</v>
      </c>
      <c r="P342" s="2" t="s">
        <v>462</v>
      </c>
      <c r="Q342" s="4">
        <v>44456</v>
      </c>
      <c r="R342" s="4">
        <v>44547</v>
      </c>
      <c r="S342" s="3">
        <v>-1544</v>
      </c>
      <c r="T342" s="5">
        <v>0</v>
      </c>
      <c r="U342" s="2" t="s">
        <v>20</v>
      </c>
      <c r="V342" s="5">
        <v>1558770</v>
      </c>
      <c r="W342" s="5">
        <v>1558770</v>
      </c>
      <c r="X342" s="5">
        <v>113476960.61</v>
      </c>
    </row>
    <row r="343" spans="1:24" outlineLevel="3">
      <c r="A343" s="2" t="s">
        <v>431</v>
      </c>
      <c r="B343" s="3">
        <v>900564535</v>
      </c>
      <c r="C343" s="3">
        <v>0</v>
      </c>
      <c r="D343" s="2" t="s">
        <v>432</v>
      </c>
      <c r="E343" s="2">
        <v>3148764178</v>
      </c>
      <c r="F343" s="2" t="s">
        <v>433</v>
      </c>
      <c r="G343" s="2" t="s">
        <v>434</v>
      </c>
      <c r="H343" s="2" t="s">
        <v>28</v>
      </c>
      <c r="I343" s="2" t="s">
        <v>11</v>
      </c>
      <c r="J343" s="2" t="s">
        <v>59</v>
      </c>
      <c r="K343" s="2" t="s">
        <v>47</v>
      </c>
      <c r="L343" s="2" t="s">
        <v>48</v>
      </c>
      <c r="M343" s="2" t="s">
        <v>32</v>
      </c>
      <c r="N343" s="3">
        <v>0</v>
      </c>
      <c r="O343" s="2" t="s">
        <v>33</v>
      </c>
      <c r="P343" s="2" t="s">
        <v>463</v>
      </c>
      <c r="Q343" s="4">
        <v>44462</v>
      </c>
      <c r="R343" s="4">
        <v>44553</v>
      </c>
      <c r="S343" s="3">
        <v>-1538</v>
      </c>
      <c r="T343" s="5">
        <v>0</v>
      </c>
      <c r="U343" s="2" t="s">
        <v>20</v>
      </c>
      <c r="V343" s="5">
        <v>5149300</v>
      </c>
      <c r="W343" s="5">
        <v>5149300</v>
      </c>
      <c r="X343" s="5">
        <v>118626260.61</v>
      </c>
    </row>
    <row r="344" spans="1:24" outlineLevel="3">
      <c r="A344" s="2" t="s">
        <v>431</v>
      </c>
      <c r="B344" s="3">
        <v>900564535</v>
      </c>
      <c r="C344" s="3">
        <v>0</v>
      </c>
      <c r="D344" s="2" t="s">
        <v>432</v>
      </c>
      <c r="E344" s="2">
        <v>3148764178</v>
      </c>
      <c r="F344" s="2" t="s">
        <v>433</v>
      </c>
      <c r="G344" s="2" t="s">
        <v>434</v>
      </c>
      <c r="H344" s="2" t="s">
        <v>28</v>
      </c>
      <c r="I344" s="2" t="s">
        <v>11</v>
      </c>
      <c r="J344" s="2" t="s">
        <v>59</v>
      </c>
      <c r="K344" s="2" t="s">
        <v>47</v>
      </c>
      <c r="L344" s="2" t="s">
        <v>48</v>
      </c>
      <c r="M344" s="2" t="s">
        <v>32</v>
      </c>
      <c r="N344" s="3">
        <v>0</v>
      </c>
      <c r="O344" s="2" t="s">
        <v>33</v>
      </c>
      <c r="P344" s="2" t="s">
        <v>464</v>
      </c>
      <c r="Q344" s="4">
        <v>44466</v>
      </c>
      <c r="R344" s="4">
        <v>44557</v>
      </c>
      <c r="S344" s="3">
        <v>-1534</v>
      </c>
      <c r="T344" s="5">
        <v>0</v>
      </c>
      <c r="U344" s="2" t="s">
        <v>20</v>
      </c>
      <c r="V344" s="5">
        <v>4624467.5</v>
      </c>
      <c r="W344" s="5">
        <v>4624467.5</v>
      </c>
      <c r="X344" s="5">
        <v>123250728.11</v>
      </c>
    </row>
    <row r="345" spans="1:24" outlineLevel="3">
      <c r="A345" s="2" t="s">
        <v>431</v>
      </c>
      <c r="B345" s="3">
        <v>900564535</v>
      </c>
      <c r="C345" s="3">
        <v>0</v>
      </c>
      <c r="D345" s="2" t="s">
        <v>432</v>
      </c>
      <c r="E345" s="2">
        <v>3148764178</v>
      </c>
      <c r="F345" s="2" t="s">
        <v>433</v>
      </c>
      <c r="G345" s="2" t="s">
        <v>434</v>
      </c>
      <c r="H345" s="2" t="s">
        <v>28</v>
      </c>
      <c r="I345" s="2" t="s">
        <v>11</v>
      </c>
      <c r="J345" s="2" t="s">
        <v>59</v>
      </c>
      <c r="K345" s="2" t="s">
        <v>47</v>
      </c>
      <c r="L345" s="2" t="s">
        <v>48</v>
      </c>
      <c r="M345" s="2" t="s">
        <v>32</v>
      </c>
      <c r="N345" s="3">
        <v>0</v>
      </c>
      <c r="O345" s="2" t="s">
        <v>33</v>
      </c>
      <c r="P345" s="2" t="s">
        <v>465</v>
      </c>
      <c r="Q345" s="4">
        <v>44475</v>
      </c>
      <c r="R345" s="4">
        <v>44567</v>
      </c>
      <c r="S345" s="3">
        <v>-1525</v>
      </c>
      <c r="T345" s="5">
        <v>0</v>
      </c>
      <c r="U345" s="2" t="s">
        <v>20</v>
      </c>
      <c r="V345" s="5">
        <v>9643870</v>
      </c>
      <c r="W345" s="5">
        <v>9643870</v>
      </c>
      <c r="X345" s="5">
        <v>132894598.11</v>
      </c>
    </row>
    <row r="346" spans="1:24" outlineLevel="3">
      <c r="A346" s="2" t="s">
        <v>431</v>
      </c>
      <c r="B346" s="3">
        <v>900564535</v>
      </c>
      <c r="C346" s="3">
        <v>0</v>
      </c>
      <c r="D346" s="2" t="s">
        <v>432</v>
      </c>
      <c r="E346" s="2">
        <v>3148764178</v>
      </c>
      <c r="F346" s="2" t="s">
        <v>433</v>
      </c>
      <c r="G346" s="2" t="s">
        <v>434</v>
      </c>
      <c r="H346" s="2" t="s">
        <v>28</v>
      </c>
      <c r="I346" s="2" t="s">
        <v>11</v>
      </c>
      <c r="J346" s="2" t="s">
        <v>59</v>
      </c>
      <c r="K346" s="2" t="s">
        <v>47</v>
      </c>
      <c r="L346" s="2" t="s">
        <v>48</v>
      </c>
      <c r="M346" s="2" t="s">
        <v>32</v>
      </c>
      <c r="N346" s="3">
        <v>0</v>
      </c>
      <c r="O346" s="2" t="s">
        <v>33</v>
      </c>
      <c r="P346" s="2" t="s">
        <v>466</v>
      </c>
      <c r="Q346" s="4">
        <v>44475</v>
      </c>
      <c r="R346" s="4">
        <v>44567</v>
      </c>
      <c r="S346" s="3">
        <v>-1525</v>
      </c>
      <c r="T346" s="5">
        <v>0</v>
      </c>
      <c r="U346" s="2" t="s">
        <v>20</v>
      </c>
      <c r="V346" s="5">
        <v>4508550</v>
      </c>
      <c r="W346" s="5">
        <v>4508550</v>
      </c>
      <c r="X346" s="5">
        <v>137403148.11000001</v>
      </c>
    </row>
    <row r="347" spans="1:24" outlineLevel="3">
      <c r="A347" s="2" t="s">
        <v>431</v>
      </c>
      <c r="B347" s="3">
        <v>900564535</v>
      </c>
      <c r="C347" s="3">
        <v>0</v>
      </c>
      <c r="D347" s="2" t="s">
        <v>432</v>
      </c>
      <c r="E347" s="2">
        <v>3148764178</v>
      </c>
      <c r="F347" s="2" t="s">
        <v>433</v>
      </c>
      <c r="G347" s="2" t="s">
        <v>434</v>
      </c>
      <c r="H347" s="2" t="s">
        <v>28</v>
      </c>
      <c r="I347" s="2" t="s">
        <v>11</v>
      </c>
      <c r="J347" s="2" t="s">
        <v>59</v>
      </c>
      <c r="K347" s="2" t="s">
        <v>47</v>
      </c>
      <c r="L347" s="2" t="s">
        <v>48</v>
      </c>
      <c r="M347" s="2" t="s">
        <v>32</v>
      </c>
      <c r="N347" s="3">
        <v>0</v>
      </c>
      <c r="O347" s="2" t="s">
        <v>33</v>
      </c>
      <c r="P347" s="2" t="s">
        <v>467</v>
      </c>
      <c r="Q347" s="4">
        <v>44477</v>
      </c>
      <c r="R347" s="4">
        <v>44569</v>
      </c>
      <c r="S347" s="3">
        <v>-1523</v>
      </c>
      <c r="T347" s="5">
        <v>0</v>
      </c>
      <c r="U347" s="2" t="s">
        <v>20</v>
      </c>
      <c r="V347" s="5">
        <v>14107567.5</v>
      </c>
      <c r="W347" s="5">
        <v>14107567.5</v>
      </c>
      <c r="X347" s="5">
        <v>151510715.61000001</v>
      </c>
    </row>
    <row r="348" spans="1:24" outlineLevel="3">
      <c r="A348" s="2" t="s">
        <v>431</v>
      </c>
      <c r="B348" s="3">
        <v>900564535</v>
      </c>
      <c r="C348" s="3">
        <v>0</v>
      </c>
      <c r="D348" s="2" t="s">
        <v>432</v>
      </c>
      <c r="E348" s="2">
        <v>3148764178</v>
      </c>
      <c r="F348" s="2" t="s">
        <v>433</v>
      </c>
      <c r="G348" s="2" t="s">
        <v>434</v>
      </c>
      <c r="H348" s="2" t="s">
        <v>28</v>
      </c>
      <c r="I348" s="2" t="s">
        <v>11</v>
      </c>
      <c r="J348" s="2" t="s">
        <v>59</v>
      </c>
      <c r="K348" s="2" t="s">
        <v>47</v>
      </c>
      <c r="L348" s="2" t="s">
        <v>48</v>
      </c>
      <c r="M348" s="2" t="s">
        <v>32</v>
      </c>
      <c r="N348" s="3">
        <v>0</v>
      </c>
      <c r="O348" s="2" t="s">
        <v>33</v>
      </c>
      <c r="P348" s="2" t="s">
        <v>468</v>
      </c>
      <c r="Q348" s="4">
        <v>44481</v>
      </c>
      <c r="R348" s="4">
        <v>44573</v>
      </c>
      <c r="S348" s="3">
        <v>-1519</v>
      </c>
      <c r="T348" s="5">
        <v>0</v>
      </c>
      <c r="U348" s="2" t="s">
        <v>20</v>
      </c>
      <c r="V348" s="5">
        <v>1202280</v>
      </c>
      <c r="W348" s="5">
        <v>1202280</v>
      </c>
      <c r="X348" s="5">
        <v>152712995.61000001</v>
      </c>
    </row>
    <row r="349" spans="1:24" outlineLevel="3">
      <c r="A349" s="2" t="s">
        <v>431</v>
      </c>
      <c r="B349" s="3">
        <v>900564535</v>
      </c>
      <c r="C349" s="3">
        <v>0</v>
      </c>
      <c r="D349" s="2" t="s">
        <v>432</v>
      </c>
      <c r="E349" s="2">
        <v>3148764178</v>
      </c>
      <c r="F349" s="2" t="s">
        <v>433</v>
      </c>
      <c r="G349" s="2" t="s">
        <v>434</v>
      </c>
      <c r="H349" s="2" t="s">
        <v>28</v>
      </c>
      <c r="I349" s="2" t="s">
        <v>11</v>
      </c>
      <c r="J349" s="2" t="s">
        <v>59</v>
      </c>
      <c r="K349" s="2" t="s">
        <v>47</v>
      </c>
      <c r="L349" s="2" t="s">
        <v>48</v>
      </c>
      <c r="M349" s="2" t="s">
        <v>32</v>
      </c>
      <c r="N349" s="3">
        <v>0</v>
      </c>
      <c r="O349" s="2" t="s">
        <v>33</v>
      </c>
      <c r="P349" s="2" t="s">
        <v>469</v>
      </c>
      <c r="Q349" s="4">
        <v>44483</v>
      </c>
      <c r="R349" s="4">
        <v>44575</v>
      </c>
      <c r="S349" s="3">
        <v>-1517</v>
      </c>
      <c r="T349" s="5">
        <v>0</v>
      </c>
      <c r="U349" s="2" t="s">
        <v>20</v>
      </c>
      <c r="V349" s="5">
        <v>1202280</v>
      </c>
      <c r="W349" s="5">
        <v>1202280</v>
      </c>
      <c r="X349" s="5">
        <v>153915275.61000001</v>
      </c>
    </row>
    <row r="350" spans="1:24" outlineLevel="3">
      <c r="A350" s="2" t="s">
        <v>431</v>
      </c>
      <c r="B350" s="3">
        <v>900564535</v>
      </c>
      <c r="C350" s="3">
        <v>0</v>
      </c>
      <c r="D350" s="2" t="s">
        <v>432</v>
      </c>
      <c r="E350" s="2">
        <v>3148764178</v>
      </c>
      <c r="F350" s="2" t="s">
        <v>433</v>
      </c>
      <c r="G350" s="2" t="s">
        <v>434</v>
      </c>
      <c r="H350" s="2" t="s">
        <v>28</v>
      </c>
      <c r="I350" s="2" t="s">
        <v>11</v>
      </c>
      <c r="J350" s="2" t="s">
        <v>59</v>
      </c>
      <c r="K350" s="2" t="s">
        <v>47</v>
      </c>
      <c r="L350" s="2" t="s">
        <v>48</v>
      </c>
      <c r="M350" s="2" t="s">
        <v>32</v>
      </c>
      <c r="N350" s="3">
        <v>0</v>
      </c>
      <c r="O350" s="2" t="s">
        <v>33</v>
      </c>
      <c r="P350" s="2" t="s">
        <v>470</v>
      </c>
      <c r="Q350" s="4">
        <v>44484</v>
      </c>
      <c r="R350" s="4">
        <v>44576</v>
      </c>
      <c r="S350" s="3">
        <v>-1516</v>
      </c>
      <c r="T350" s="5">
        <v>0</v>
      </c>
      <c r="U350" s="2" t="s">
        <v>20</v>
      </c>
      <c r="V350" s="5">
        <v>1558770</v>
      </c>
      <c r="W350" s="5">
        <v>1558770</v>
      </c>
      <c r="X350" s="5">
        <v>155474045.61000001</v>
      </c>
    </row>
    <row r="351" spans="1:24" outlineLevel="3">
      <c r="A351" s="2" t="s">
        <v>431</v>
      </c>
      <c r="B351" s="3">
        <v>900564535</v>
      </c>
      <c r="C351" s="3">
        <v>0</v>
      </c>
      <c r="D351" s="2" t="s">
        <v>432</v>
      </c>
      <c r="E351" s="2">
        <v>3148764178</v>
      </c>
      <c r="F351" s="2" t="s">
        <v>433</v>
      </c>
      <c r="G351" s="2" t="s">
        <v>434</v>
      </c>
      <c r="H351" s="2" t="s">
        <v>28</v>
      </c>
      <c r="I351" s="2" t="s">
        <v>11</v>
      </c>
      <c r="J351" s="2" t="s">
        <v>59</v>
      </c>
      <c r="K351" s="2" t="s">
        <v>47</v>
      </c>
      <c r="L351" s="2" t="s">
        <v>48</v>
      </c>
      <c r="M351" s="2" t="s">
        <v>32</v>
      </c>
      <c r="N351" s="3">
        <v>0</v>
      </c>
      <c r="O351" s="2" t="s">
        <v>33</v>
      </c>
      <c r="P351" s="2" t="s">
        <v>471</v>
      </c>
      <c r="Q351" s="4">
        <v>44484</v>
      </c>
      <c r="R351" s="4">
        <v>44576</v>
      </c>
      <c r="S351" s="3">
        <v>-1516</v>
      </c>
      <c r="T351" s="5">
        <v>0</v>
      </c>
      <c r="U351" s="2" t="s">
        <v>20</v>
      </c>
      <c r="V351" s="5">
        <v>777070</v>
      </c>
      <c r="W351" s="5">
        <v>777070</v>
      </c>
      <c r="X351" s="5">
        <v>156251115.61000001</v>
      </c>
    </row>
    <row r="352" spans="1:24" outlineLevel="3">
      <c r="A352" s="2" t="s">
        <v>431</v>
      </c>
      <c r="B352" s="3">
        <v>900564535</v>
      </c>
      <c r="C352" s="3">
        <v>0</v>
      </c>
      <c r="D352" s="2" t="s">
        <v>432</v>
      </c>
      <c r="E352" s="2">
        <v>3148764178</v>
      </c>
      <c r="F352" s="2" t="s">
        <v>433</v>
      </c>
      <c r="G352" s="2" t="s">
        <v>434</v>
      </c>
      <c r="H352" s="2" t="s">
        <v>28</v>
      </c>
      <c r="I352" s="2" t="s">
        <v>11</v>
      </c>
      <c r="J352" s="2" t="s">
        <v>59</v>
      </c>
      <c r="K352" s="2" t="s">
        <v>47</v>
      </c>
      <c r="L352" s="2" t="s">
        <v>48</v>
      </c>
      <c r="M352" s="2" t="s">
        <v>32</v>
      </c>
      <c r="N352" s="3">
        <v>0</v>
      </c>
      <c r="O352" s="2" t="s">
        <v>33</v>
      </c>
      <c r="P352" s="2" t="s">
        <v>472</v>
      </c>
      <c r="Q352" s="4">
        <v>44490</v>
      </c>
      <c r="R352" s="4">
        <v>44582</v>
      </c>
      <c r="S352" s="3">
        <v>-1510</v>
      </c>
      <c r="T352" s="5">
        <v>0</v>
      </c>
      <c r="U352" s="2" t="s">
        <v>20</v>
      </c>
      <c r="V352" s="5">
        <v>1202280</v>
      </c>
      <c r="W352" s="5">
        <v>1202280</v>
      </c>
      <c r="X352" s="5">
        <v>157453395.61000001</v>
      </c>
    </row>
    <row r="353" spans="1:24" outlineLevel="3">
      <c r="A353" s="2" t="s">
        <v>431</v>
      </c>
      <c r="B353" s="3">
        <v>900564535</v>
      </c>
      <c r="C353" s="3">
        <v>0</v>
      </c>
      <c r="D353" s="2" t="s">
        <v>432</v>
      </c>
      <c r="E353" s="2">
        <v>3148764178</v>
      </c>
      <c r="F353" s="2" t="s">
        <v>433</v>
      </c>
      <c r="G353" s="2" t="s">
        <v>434</v>
      </c>
      <c r="H353" s="2" t="s">
        <v>28</v>
      </c>
      <c r="I353" s="2" t="s">
        <v>11</v>
      </c>
      <c r="J353" s="2" t="s">
        <v>59</v>
      </c>
      <c r="K353" s="2" t="s">
        <v>47</v>
      </c>
      <c r="L353" s="2" t="s">
        <v>48</v>
      </c>
      <c r="M353" s="2" t="s">
        <v>32</v>
      </c>
      <c r="N353" s="3">
        <v>0</v>
      </c>
      <c r="O353" s="2" t="s">
        <v>33</v>
      </c>
      <c r="P353" s="2" t="s">
        <v>473</v>
      </c>
      <c r="Q353" s="4">
        <v>44490</v>
      </c>
      <c r="R353" s="4">
        <v>44582</v>
      </c>
      <c r="S353" s="3">
        <v>-1510</v>
      </c>
      <c r="T353" s="5">
        <v>0</v>
      </c>
      <c r="U353" s="2" t="s">
        <v>20</v>
      </c>
      <c r="V353" s="5">
        <v>14457650</v>
      </c>
      <c r="W353" s="5">
        <v>14457650</v>
      </c>
      <c r="X353" s="5">
        <v>171911045.61000001</v>
      </c>
    </row>
    <row r="354" spans="1:24" outlineLevel="3">
      <c r="A354" s="2" t="s">
        <v>431</v>
      </c>
      <c r="B354" s="3">
        <v>900564535</v>
      </c>
      <c r="C354" s="3">
        <v>0</v>
      </c>
      <c r="D354" s="2" t="s">
        <v>432</v>
      </c>
      <c r="E354" s="2">
        <v>3148764178</v>
      </c>
      <c r="F354" s="2" t="s">
        <v>433</v>
      </c>
      <c r="G354" s="2" t="s">
        <v>434</v>
      </c>
      <c r="H354" s="2" t="s">
        <v>28</v>
      </c>
      <c r="I354" s="2" t="s">
        <v>11</v>
      </c>
      <c r="J354" s="2" t="s">
        <v>59</v>
      </c>
      <c r="K354" s="2" t="s">
        <v>47</v>
      </c>
      <c r="L354" s="2" t="s">
        <v>48</v>
      </c>
      <c r="M354" s="2" t="s">
        <v>32</v>
      </c>
      <c r="N354" s="3">
        <v>0</v>
      </c>
      <c r="O354" s="2" t="s">
        <v>33</v>
      </c>
      <c r="P354" s="2" t="s">
        <v>474</v>
      </c>
      <c r="Q354" s="4">
        <v>44490</v>
      </c>
      <c r="R354" s="4">
        <v>44582</v>
      </c>
      <c r="S354" s="3">
        <v>-1510</v>
      </c>
      <c r="T354" s="5">
        <v>0</v>
      </c>
      <c r="U354" s="2" t="s">
        <v>20</v>
      </c>
      <c r="V354" s="5">
        <v>25101090</v>
      </c>
      <c r="W354" s="5">
        <v>25101090</v>
      </c>
      <c r="X354" s="5">
        <v>197012135.61000001</v>
      </c>
    </row>
    <row r="355" spans="1:24" outlineLevel="3">
      <c r="A355" s="2" t="s">
        <v>431</v>
      </c>
      <c r="B355" s="3">
        <v>900564535</v>
      </c>
      <c r="C355" s="3">
        <v>0</v>
      </c>
      <c r="D355" s="2" t="s">
        <v>432</v>
      </c>
      <c r="E355" s="2">
        <v>3148764178</v>
      </c>
      <c r="F355" s="2" t="s">
        <v>433</v>
      </c>
      <c r="G355" s="2" t="s">
        <v>434</v>
      </c>
      <c r="H355" s="2" t="s">
        <v>28</v>
      </c>
      <c r="I355" s="2" t="s">
        <v>11</v>
      </c>
      <c r="J355" s="2" t="s">
        <v>228</v>
      </c>
      <c r="K355" s="2" t="s">
        <v>47</v>
      </c>
      <c r="L355" s="2" t="s">
        <v>48</v>
      </c>
      <c r="M355" s="2" t="s">
        <v>32</v>
      </c>
      <c r="N355" s="3">
        <v>0</v>
      </c>
      <c r="O355" s="2" t="s">
        <v>33</v>
      </c>
      <c r="P355" s="2" t="s">
        <v>475</v>
      </c>
      <c r="Q355" s="4">
        <v>44491</v>
      </c>
      <c r="R355" s="4">
        <v>44583</v>
      </c>
      <c r="S355" s="3">
        <v>-1509</v>
      </c>
      <c r="T355" s="5">
        <v>0</v>
      </c>
      <c r="U355" s="2" t="s">
        <v>20</v>
      </c>
      <c r="V355" s="5">
        <v>2503468.5</v>
      </c>
      <c r="W355" s="5">
        <v>2503468.5</v>
      </c>
      <c r="X355" s="5">
        <v>199515604.11000001</v>
      </c>
    </row>
    <row r="356" spans="1:24" outlineLevel="3">
      <c r="A356" s="2" t="s">
        <v>431</v>
      </c>
      <c r="B356" s="3">
        <v>900564535</v>
      </c>
      <c r="C356" s="3">
        <v>0</v>
      </c>
      <c r="D356" s="2" t="s">
        <v>432</v>
      </c>
      <c r="E356" s="2">
        <v>3148764178</v>
      </c>
      <c r="F356" s="2" t="s">
        <v>433</v>
      </c>
      <c r="G356" s="2" t="s">
        <v>434</v>
      </c>
      <c r="H356" s="2" t="s">
        <v>28</v>
      </c>
      <c r="I356" s="2" t="s">
        <v>11</v>
      </c>
      <c r="J356" s="2" t="s">
        <v>59</v>
      </c>
      <c r="K356" s="2" t="s">
        <v>47</v>
      </c>
      <c r="L356" s="2" t="s">
        <v>48</v>
      </c>
      <c r="M356" s="2" t="s">
        <v>32</v>
      </c>
      <c r="N356" s="3">
        <v>0</v>
      </c>
      <c r="O356" s="2" t="s">
        <v>33</v>
      </c>
      <c r="P356" s="2" t="s">
        <v>476</v>
      </c>
      <c r="Q356" s="4">
        <v>44495</v>
      </c>
      <c r="R356" s="4">
        <v>44587</v>
      </c>
      <c r="S356" s="3">
        <v>-1505</v>
      </c>
      <c r="T356" s="5">
        <v>0</v>
      </c>
      <c r="U356" s="2" t="s">
        <v>20</v>
      </c>
      <c r="V356" s="5">
        <v>3005700</v>
      </c>
      <c r="W356" s="5">
        <v>3005700</v>
      </c>
      <c r="X356" s="5">
        <v>202521304.11000001</v>
      </c>
    </row>
    <row r="357" spans="1:24" outlineLevel="3">
      <c r="A357" s="2" t="s">
        <v>431</v>
      </c>
      <c r="B357" s="3">
        <v>900564535</v>
      </c>
      <c r="C357" s="3">
        <v>0</v>
      </c>
      <c r="D357" s="2" t="s">
        <v>432</v>
      </c>
      <c r="E357" s="2">
        <v>3148764178</v>
      </c>
      <c r="F357" s="2" t="s">
        <v>433</v>
      </c>
      <c r="G357" s="2" t="s">
        <v>434</v>
      </c>
      <c r="H357" s="2" t="s">
        <v>28</v>
      </c>
      <c r="I357" s="2" t="s">
        <v>11</v>
      </c>
      <c r="J357" s="2" t="s">
        <v>59</v>
      </c>
      <c r="K357" s="2" t="s">
        <v>47</v>
      </c>
      <c r="L357" s="2" t="s">
        <v>48</v>
      </c>
      <c r="M357" s="2" t="s">
        <v>32</v>
      </c>
      <c r="N357" s="3">
        <v>0</v>
      </c>
      <c r="O357" s="2" t="s">
        <v>33</v>
      </c>
      <c r="P357" s="2" t="s">
        <v>477</v>
      </c>
      <c r="Q357" s="4">
        <v>44496</v>
      </c>
      <c r="R357" s="4">
        <v>44588</v>
      </c>
      <c r="S357" s="3">
        <v>-1504</v>
      </c>
      <c r="T357" s="5">
        <v>0</v>
      </c>
      <c r="U357" s="2" t="s">
        <v>20</v>
      </c>
      <c r="V357" s="5">
        <v>7266105</v>
      </c>
      <c r="W357" s="5">
        <v>7266105</v>
      </c>
      <c r="X357" s="5">
        <v>209787409.11000001</v>
      </c>
    </row>
    <row r="358" spans="1:24" outlineLevel="3">
      <c r="A358" s="2" t="s">
        <v>431</v>
      </c>
      <c r="B358" s="3">
        <v>900564535</v>
      </c>
      <c r="C358" s="3">
        <v>0</v>
      </c>
      <c r="D358" s="2" t="s">
        <v>432</v>
      </c>
      <c r="E358" s="2">
        <v>3148764178</v>
      </c>
      <c r="F358" s="2" t="s">
        <v>433</v>
      </c>
      <c r="G358" s="2" t="s">
        <v>434</v>
      </c>
      <c r="H358" s="2" t="s">
        <v>28</v>
      </c>
      <c r="I358" s="2" t="s">
        <v>11</v>
      </c>
      <c r="J358" s="2" t="s">
        <v>59</v>
      </c>
      <c r="K358" s="2" t="s">
        <v>47</v>
      </c>
      <c r="L358" s="2" t="s">
        <v>48</v>
      </c>
      <c r="M358" s="2" t="s">
        <v>32</v>
      </c>
      <c r="N358" s="3">
        <v>0</v>
      </c>
      <c r="O358" s="2" t="s">
        <v>33</v>
      </c>
      <c r="P358" s="2" t="s">
        <v>478</v>
      </c>
      <c r="Q358" s="4">
        <v>44496</v>
      </c>
      <c r="R358" s="4">
        <v>44588</v>
      </c>
      <c r="S358" s="3">
        <v>-1504</v>
      </c>
      <c r="T358" s="5">
        <v>0</v>
      </c>
      <c r="U358" s="2" t="s">
        <v>20</v>
      </c>
      <c r="V358" s="5">
        <v>1023400</v>
      </c>
      <c r="W358" s="5">
        <v>1023400</v>
      </c>
      <c r="X358" s="5">
        <v>210810809.11000001</v>
      </c>
    </row>
    <row r="359" spans="1:24" outlineLevel="3">
      <c r="A359" s="2" t="s">
        <v>431</v>
      </c>
      <c r="B359" s="3">
        <v>900564535</v>
      </c>
      <c r="C359" s="3">
        <v>0</v>
      </c>
      <c r="D359" s="2" t="s">
        <v>432</v>
      </c>
      <c r="E359" s="2">
        <v>3148764178</v>
      </c>
      <c r="F359" s="2" t="s">
        <v>433</v>
      </c>
      <c r="G359" s="2" t="s">
        <v>434</v>
      </c>
      <c r="H359" s="2" t="s">
        <v>28</v>
      </c>
      <c r="I359" s="2" t="s">
        <v>11</v>
      </c>
      <c r="J359" s="2" t="s">
        <v>59</v>
      </c>
      <c r="K359" s="2" t="s">
        <v>47</v>
      </c>
      <c r="L359" s="2" t="s">
        <v>48</v>
      </c>
      <c r="M359" s="2" t="s">
        <v>32</v>
      </c>
      <c r="N359" s="3">
        <v>0</v>
      </c>
      <c r="O359" s="2" t="s">
        <v>33</v>
      </c>
      <c r="P359" s="2" t="s">
        <v>479</v>
      </c>
      <c r="Q359" s="4">
        <v>44497</v>
      </c>
      <c r="R359" s="4">
        <v>44589</v>
      </c>
      <c r="S359" s="3">
        <v>-1503</v>
      </c>
      <c r="T359" s="5">
        <v>0</v>
      </c>
      <c r="U359" s="2" t="s">
        <v>20</v>
      </c>
      <c r="V359" s="5">
        <v>265268.84999999998</v>
      </c>
      <c r="W359" s="5">
        <v>265268.84999999998</v>
      </c>
      <c r="X359" s="5">
        <v>211076077.96000001</v>
      </c>
    </row>
    <row r="360" spans="1:24" outlineLevel="3">
      <c r="A360" s="2" t="s">
        <v>431</v>
      </c>
      <c r="B360" s="3">
        <v>900564535</v>
      </c>
      <c r="C360" s="3">
        <v>0</v>
      </c>
      <c r="D360" s="2" t="s">
        <v>432</v>
      </c>
      <c r="E360" s="2">
        <v>3148764178</v>
      </c>
      <c r="F360" s="2" t="s">
        <v>433</v>
      </c>
      <c r="G360" s="2" t="s">
        <v>434</v>
      </c>
      <c r="H360" s="2" t="s">
        <v>28</v>
      </c>
      <c r="I360" s="2" t="s">
        <v>11</v>
      </c>
      <c r="J360" s="2" t="s">
        <v>59</v>
      </c>
      <c r="K360" s="2" t="s">
        <v>47</v>
      </c>
      <c r="L360" s="2" t="s">
        <v>48</v>
      </c>
      <c r="M360" s="2" t="s">
        <v>32</v>
      </c>
      <c r="N360" s="3">
        <v>0</v>
      </c>
      <c r="O360" s="2" t="s">
        <v>33</v>
      </c>
      <c r="P360" s="2" t="s">
        <v>480</v>
      </c>
      <c r="Q360" s="4">
        <v>44508</v>
      </c>
      <c r="R360" s="4">
        <v>44600</v>
      </c>
      <c r="S360" s="3">
        <v>-1493</v>
      </c>
      <c r="T360" s="5">
        <v>0</v>
      </c>
      <c r="U360" s="2" t="s">
        <v>20</v>
      </c>
      <c r="V360" s="5">
        <v>1372370</v>
      </c>
      <c r="W360" s="5">
        <v>1372370</v>
      </c>
      <c r="X360" s="5">
        <v>212448447.96000001</v>
      </c>
    </row>
    <row r="361" spans="1:24" outlineLevel="3">
      <c r="A361" s="2" t="s">
        <v>431</v>
      </c>
      <c r="B361" s="3">
        <v>900564535</v>
      </c>
      <c r="C361" s="3">
        <v>0</v>
      </c>
      <c r="D361" s="2" t="s">
        <v>432</v>
      </c>
      <c r="E361" s="2">
        <v>3148764178</v>
      </c>
      <c r="F361" s="2" t="s">
        <v>433</v>
      </c>
      <c r="G361" s="2" t="s">
        <v>434</v>
      </c>
      <c r="H361" s="2" t="s">
        <v>28</v>
      </c>
      <c r="I361" s="2" t="s">
        <v>11</v>
      </c>
      <c r="J361" s="2" t="s">
        <v>59</v>
      </c>
      <c r="K361" s="2" t="s">
        <v>47</v>
      </c>
      <c r="L361" s="2" t="s">
        <v>48</v>
      </c>
      <c r="M361" s="2" t="s">
        <v>32</v>
      </c>
      <c r="N361" s="3">
        <v>0</v>
      </c>
      <c r="O361" s="2" t="s">
        <v>33</v>
      </c>
      <c r="P361" s="2" t="s">
        <v>481</v>
      </c>
      <c r="Q361" s="4">
        <v>44511</v>
      </c>
      <c r="R361" s="4">
        <v>44603</v>
      </c>
      <c r="S361" s="3">
        <v>-1490</v>
      </c>
      <c r="T361" s="5">
        <v>0</v>
      </c>
      <c r="U361" s="2" t="s">
        <v>20</v>
      </c>
      <c r="V361" s="5">
        <v>14343480</v>
      </c>
      <c r="W361" s="5">
        <v>14343480</v>
      </c>
      <c r="X361" s="5">
        <v>226791927.96000001</v>
      </c>
    </row>
    <row r="362" spans="1:24" outlineLevel="3">
      <c r="A362" s="2" t="s">
        <v>431</v>
      </c>
      <c r="B362" s="3">
        <v>900564535</v>
      </c>
      <c r="C362" s="3">
        <v>0</v>
      </c>
      <c r="D362" s="2" t="s">
        <v>432</v>
      </c>
      <c r="E362" s="2">
        <v>3148764178</v>
      </c>
      <c r="F362" s="2" t="s">
        <v>433</v>
      </c>
      <c r="G362" s="2" t="s">
        <v>434</v>
      </c>
      <c r="H362" s="2" t="s">
        <v>28</v>
      </c>
      <c r="I362" s="2" t="s">
        <v>11</v>
      </c>
      <c r="J362" s="2" t="s">
        <v>59</v>
      </c>
      <c r="K362" s="2" t="s">
        <v>47</v>
      </c>
      <c r="L362" s="2" t="s">
        <v>48</v>
      </c>
      <c r="M362" s="2" t="s">
        <v>32</v>
      </c>
      <c r="N362" s="3">
        <v>0</v>
      </c>
      <c r="O362" s="2" t="s">
        <v>33</v>
      </c>
      <c r="P362" s="2" t="s">
        <v>482</v>
      </c>
      <c r="Q362" s="4">
        <v>44512</v>
      </c>
      <c r="R362" s="4">
        <v>44604</v>
      </c>
      <c r="S362" s="3">
        <v>-1489</v>
      </c>
      <c r="T362" s="5">
        <v>0</v>
      </c>
      <c r="U362" s="2" t="s">
        <v>20</v>
      </c>
      <c r="V362" s="5">
        <v>15234122.5</v>
      </c>
      <c r="W362" s="5">
        <v>15234122.5</v>
      </c>
      <c r="X362" s="5">
        <v>242026050.46000001</v>
      </c>
    </row>
    <row r="363" spans="1:24" outlineLevel="3">
      <c r="A363" s="2" t="s">
        <v>431</v>
      </c>
      <c r="B363" s="3">
        <v>900564535</v>
      </c>
      <c r="C363" s="3">
        <v>0</v>
      </c>
      <c r="D363" s="2" t="s">
        <v>432</v>
      </c>
      <c r="E363" s="2">
        <v>3148764178</v>
      </c>
      <c r="F363" s="2" t="s">
        <v>433</v>
      </c>
      <c r="G363" s="2" t="s">
        <v>434</v>
      </c>
      <c r="H363" s="2" t="s">
        <v>28</v>
      </c>
      <c r="I363" s="2" t="s">
        <v>11</v>
      </c>
      <c r="J363" s="2" t="s">
        <v>59</v>
      </c>
      <c r="K363" s="2" t="s">
        <v>47</v>
      </c>
      <c r="L363" s="2" t="s">
        <v>48</v>
      </c>
      <c r="M363" s="2" t="s">
        <v>32</v>
      </c>
      <c r="N363" s="3">
        <v>0</v>
      </c>
      <c r="O363" s="2" t="s">
        <v>33</v>
      </c>
      <c r="P363" s="2" t="s">
        <v>483</v>
      </c>
      <c r="Q363" s="4">
        <v>44516</v>
      </c>
      <c r="R363" s="4">
        <v>44608</v>
      </c>
      <c r="S363" s="3">
        <v>-1485</v>
      </c>
      <c r="T363" s="5">
        <v>0</v>
      </c>
      <c r="U363" s="2" t="s">
        <v>20</v>
      </c>
      <c r="V363" s="5">
        <v>442680</v>
      </c>
      <c r="W363" s="5">
        <v>442680</v>
      </c>
      <c r="X363" s="5">
        <v>242468730.46000001</v>
      </c>
    </row>
    <row r="364" spans="1:24" outlineLevel="3">
      <c r="A364" s="2" t="s">
        <v>431</v>
      </c>
      <c r="B364" s="3">
        <v>900564535</v>
      </c>
      <c r="C364" s="3">
        <v>0</v>
      </c>
      <c r="D364" s="2" t="s">
        <v>432</v>
      </c>
      <c r="E364" s="2">
        <v>3148764178</v>
      </c>
      <c r="F364" s="2" t="s">
        <v>433</v>
      </c>
      <c r="G364" s="2" t="s">
        <v>434</v>
      </c>
      <c r="H364" s="2" t="s">
        <v>28</v>
      </c>
      <c r="I364" s="2" t="s">
        <v>11</v>
      </c>
      <c r="J364" s="2" t="s">
        <v>228</v>
      </c>
      <c r="K364" s="2" t="s">
        <v>47</v>
      </c>
      <c r="L364" s="2" t="s">
        <v>48</v>
      </c>
      <c r="M364" s="2" t="s">
        <v>32</v>
      </c>
      <c r="N364" s="3">
        <v>0</v>
      </c>
      <c r="O364" s="2" t="s">
        <v>33</v>
      </c>
      <c r="P364" s="2" t="s">
        <v>484</v>
      </c>
      <c r="Q364" s="4">
        <v>44516</v>
      </c>
      <c r="R364" s="4">
        <v>44608</v>
      </c>
      <c r="S364" s="3">
        <v>-1485</v>
      </c>
      <c r="T364" s="5">
        <v>0</v>
      </c>
      <c r="U364" s="2" t="s">
        <v>20</v>
      </c>
      <c r="V364" s="5">
        <v>4594072.6500000004</v>
      </c>
      <c r="W364" s="5">
        <v>4594072.6500000004</v>
      </c>
      <c r="X364" s="5">
        <v>247062803.11000001</v>
      </c>
    </row>
    <row r="365" spans="1:24" outlineLevel="3">
      <c r="A365" s="2" t="s">
        <v>431</v>
      </c>
      <c r="B365" s="3">
        <v>900564535</v>
      </c>
      <c r="C365" s="3">
        <v>0</v>
      </c>
      <c r="D365" s="2" t="s">
        <v>432</v>
      </c>
      <c r="E365" s="2">
        <v>3148764178</v>
      </c>
      <c r="F365" s="2" t="s">
        <v>433</v>
      </c>
      <c r="G365" s="2" t="s">
        <v>434</v>
      </c>
      <c r="H365" s="2" t="s">
        <v>28</v>
      </c>
      <c r="I365" s="2" t="s">
        <v>11</v>
      </c>
      <c r="J365" s="2" t="s">
        <v>59</v>
      </c>
      <c r="K365" s="2" t="s">
        <v>47</v>
      </c>
      <c r="L365" s="2" t="s">
        <v>48</v>
      </c>
      <c r="M365" s="2" t="s">
        <v>32</v>
      </c>
      <c r="N365" s="3">
        <v>0</v>
      </c>
      <c r="O365" s="2" t="s">
        <v>33</v>
      </c>
      <c r="P365" s="2" t="s">
        <v>485</v>
      </c>
      <c r="Q365" s="4">
        <v>44525</v>
      </c>
      <c r="R365" s="4">
        <v>44617</v>
      </c>
      <c r="S365" s="3">
        <v>-1476</v>
      </c>
      <c r="T365" s="5">
        <v>0</v>
      </c>
      <c r="U365" s="2" t="s">
        <v>20</v>
      </c>
      <c r="V365" s="5">
        <v>1901035.35</v>
      </c>
      <c r="W365" s="5">
        <v>1901035.35</v>
      </c>
      <c r="X365" s="5">
        <v>248963838.46000001</v>
      </c>
    </row>
    <row r="366" spans="1:24" outlineLevel="3">
      <c r="A366" s="2" t="s">
        <v>431</v>
      </c>
      <c r="B366" s="3">
        <v>900564535</v>
      </c>
      <c r="C366" s="3">
        <v>0</v>
      </c>
      <c r="D366" s="2" t="s">
        <v>432</v>
      </c>
      <c r="E366" s="2">
        <v>3148764178</v>
      </c>
      <c r="F366" s="2" t="s">
        <v>433</v>
      </c>
      <c r="G366" s="2" t="s">
        <v>434</v>
      </c>
      <c r="H366" s="2" t="s">
        <v>28</v>
      </c>
      <c r="I366" s="2" t="s">
        <v>11</v>
      </c>
      <c r="J366" s="2" t="s">
        <v>59</v>
      </c>
      <c r="K366" s="2" t="s">
        <v>47</v>
      </c>
      <c r="L366" s="2" t="s">
        <v>48</v>
      </c>
      <c r="M366" s="2" t="s">
        <v>32</v>
      </c>
      <c r="N366" s="3">
        <v>0</v>
      </c>
      <c r="O366" s="2" t="s">
        <v>33</v>
      </c>
      <c r="P366" s="2" t="s">
        <v>486</v>
      </c>
      <c r="Q366" s="4">
        <v>44525</v>
      </c>
      <c r="R366" s="4">
        <v>44617</v>
      </c>
      <c r="S366" s="3">
        <v>-1476</v>
      </c>
      <c r="T366" s="5">
        <v>0</v>
      </c>
      <c r="U366" s="2" t="s">
        <v>20</v>
      </c>
      <c r="V366" s="5">
        <v>4997850</v>
      </c>
      <c r="W366" s="5">
        <v>4997850</v>
      </c>
      <c r="X366" s="5">
        <v>253961688.46000001</v>
      </c>
    </row>
    <row r="367" spans="1:24" outlineLevel="3">
      <c r="A367" s="2" t="s">
        <v>431</v>
      </c>
      <c r="B367" s="3">
        <v>900564535</v>
      </c>
      <c r="C367" s="3">
        <v>0</v>
      </c>
      <c r="D367" s="2" t="s">
        <v>432</v>
      </c>
      <c r="E367" s="2">
        <v>3148764178</v>
      </c>
      <c r="F367" s="2" t="s">
        <v>433</v>
      </c>
      <c r="G367" s="2" t="s">
        <v>434</v>
      </c>
      <c r="H367" s="2" t="s">
        <v>28</v>
      </c>
      <c r="I367" s="2" t="s">
        <v>11</v>
      </c>
      <c r="J367" s="2" t="s">
        <v>59</v>
      </c>
      <c r="K367" s="2" t="s">
        <v>47</v>
      </c>
      <c r="L367" s="2" t="s">
        <v>48</v>
      </c>
      <c r="M367" s="2" t="s">
        <v>32</v>
      </c>
      <c r="N367" s="3">
        <v>0</v>
      </c>
      <c r="O367" s="2" t="s">
        <v>33</v>
      </c>
      <c r="P367" s="2" t="s">
        <v>487</v>
      </c>
      <c r="Q367" s="4">
        <v>44532</v>
      </c>
      <c r="R367" s="4">
        <v>44622</v>
      </c>
      <c r="S367" s="3">
        <v>-1469</v>
      </c>
      <c r="T367" s="5">
        <v>0</v>
      </c>
      <c r="U367" s="2" t="s">
        <v>20</v>
      </c>
      <c r="V367" s="5">
        <v>10757610</v>
      </c>
      <c r="W367" s="5">
        <v>10757610</v>
      </c>
      <c r="X367" s="5">
        <v>264719298.46000001</v>
      </c>
    </row>
    <row r="368" spans="1:24" outlineLevel="3">
      <c r="A368" s="2" t="s">
        <v>431</v>
      </c>
      <c r="B368" s="3">
        <v>900564535</v>
      </c>
      <c r="C368" s="3">
        <v>0</v>
      </c>
      <c r="D368" s="2" t="s">
        <v>432</v>
      </c>
      <c r="E368" s="2">
        <v>3148764178</v>
      </c>
      <c r="F368" s="2" t="s">
        <v>433</v>
      </c>
      <c r="G368" s="2" t="s">
        <v>434</v>
      </c>
      <c r="H368" s="2" t="s">
        <v>28</v>
      </c>
      <c r="I368" s="2" t="s">
        <v>11</v>
      </c>
      <c r="J368" s="2" t="s">
        <v>59</v>
      </c>
      <c r="K368" s="2" t="s">
        <v>47</v>
      </c>
      <c r="L368" s="2" t="s">
        <v>48</v>
      </c>
      <c r="M368" s="2" t="s">
        <v>32</v>
      </c>
      <c r="N368" s="3">
        <v>0</v>
      </c>
      <c r="O368" s="2" t="s">
        <v>33</v>
      </c>
      <c r="P368" s="2" t="s">
        <v>488</v>
      </c>
      <c r="Q368" s="4">
        <v>44533</v>
      </c>
      <c r="R368" s="4">
        <v>44623</v>
      </c>
      <c r="S368" s="3">
        <v>-1468</v>
      </c>
      <c r="T368" s="5">
        <v>0</v>
      </c>
      <c r="U368" s="2" t="s">
        <v>20</v>
      </c>
      <c r="V368" s="5">
        <v>8526751.5</v>
      </c>
      <c r="W368" s="5">
        <v>8526751.5</v>
      </c>
      <c r="X368" s="5">
        <v>273246049.95999998</v>
      </c>
    </row>
    <row r="369" spans="1:24" outlineLevel="3">
      <c r="A369" s="2" t="s">
        <v>431</v>
      </c>
      <c r="B369" s="3">
        <v>900564535</v>
      </c>
      <c r="C369" s="3">
        <v>0</v>
      </c>
      <c r="D369" s="2" t="s">
        <v>432</v>
      </c>
      <c r="E369" s="2">
        <v>3148764178</v>
      </c>
      <c r="F369" s="2" t="s">
        <v>433</v>
      </c>
      <c r="G369" s="2" t="s">
        <v>434</v>
      </c>
      <c r="H369" s="2" t="s">
        <v>28</v>
      </c>
      <c r="I369" s="2" t="s">
        <v>11</v>
      </c>
      <c r="J369" s="2" t="s">
        <v>59</v>
      </c>
      <c r="K369" s="2" t="s">
        <v>47</v>
      </c>
      <c r="L369" s="2" t="s">
        <v>48</v>
      </c>
      <c r="M369" s="2" t="s">
        <v>32</v>
      </c>
      <c r="N369" s="3">
        <v>0</v>
      </c>
      <c r="O369" s="2" t="s">
        <v>33</v>
      </c>
      <c r="P369" s="2" t="s">
        <v>489</v>
      </c>
      <c r="Q369" s="4">
        <v>44536</v>
      </c>
      <c r="R369" s="4">
        <v>44626</v>
      </c>
      <c r="S369" s="3">
        <v>-1465</v>
      </c>
      <c r="T369" s="5">
        <v>0</v>
      </c>
      <c r="U369" s="2" t="s">
        <v>20</v>
      </c>
      <c r="V369" s="5">
        <v>10757610</v>
      </c>
      <c r="W369" s="5">
        <v>10757610</v>
      </c>
      <c r="X369" s="5">
        <v>284003659.95999998</v>
      </c>
    </row>
    <row r="370" spans="1:24" outlineLevel="3">
      <c r="A370" s="2" t="s">
        <v>431</v>
      </c>
      <c r="B370" s="3">
        <v>900564535</v>
      </c>
      <c r="C370" s="3">
        <v>0</v>
      </c>
      <c r="D370" s="2" t="s">
        <v>432</v>
      </c>
      <c r="E370" s="2">
        <v>3148764178</v>
      </c>
      <c r="F370" s="2" t="s">
        <v>433</v>
      </c>
      <c r="G370" s="2" t="s">
        <v>434</v>
      </c>
      <c r="H370" s="2" t="s">
        <v>28</v>
      </c>
      <c r="I370" s="2" t="s">
        <v>11</v>
      </c>
      <c r="J370" s="2" t="s">
        <v>59</v>
      </c>
      <c r="K370" s="2" t="s">
        <v>47</v>
      </c>
      <c r="L370" s="2" t="s">
        <v>48</v>
      </c>
      <c r="M370" s="2" t="s">
        <v>32</v>
      </c>
      <c r="N370" s="3">
        <v>0</v>
      </c>
      <c r="O370" s="2" t="s">
        <v>33</v>
      </c>
      <c r="P370" s="2" t="s">
        <v>490</v>
      </c>
      <c r="Q370" s="4">
        <v>44536</v>
      </c>
      <c r="R370" s="4">
        <v>44626</v>
      </c>
      <c r="S370" s="3">
        <v>-1465</v>
      </c>
      <c r="T370" s="5">
        <v>0</v>
      </c>
      <c r="U370" s="2" t="s">
        <v>20</v>
      </c>
      <c r="V370" s="5">
        <v>4997850</v>
      </c>
      <c r="W370" s="5">
        <v>4997850</v>
      </c>
      <c r="X370" s="5">
        <v>289001509.95999998</v>
      </c>
    </row>
    <row r="371" spans="1:24" outlineLevel="3">
      <c r="A371" s="2" t="s">
        <v>431</v>
      </c>
      <c r="B371" s="3">
        <v>900564535</v>
      </c>
      <c r="C371" s="3">
        <v>0</v>
      </c>
      <c r="D371" s="2" t="s">
        <v>432</v>
      </c>
      <c r="E371" s="2">
        <v>3148764178</v>
      </c>
      <c r="F371" s="2" t="s">
        <v>433</v>
      </c>
      <c r="G371" s="2" t="s">
        <v>434</v>
      </c>
      <c r="H371" s="2" t="s">
        <v>28</v>
      </c>
      <c r="I371" s="2" t="s">
        <v>11</v>
      </c>
      <c r="J371" s="2" t="s">
        <v>59</v>
      </c>
      <c r="K371" s="2" t="s">
        <v>47</v>
      </c>
      <c r="L371" s="2" t="s">
        <v>48</v>
      </c>
      <c r="M371" s="2" t="s">
        <v>32</v>
      </c>
      <c r="N371" s="3">
        <v>0</v>
      </c>
      <c r="O371" s="2" t="s">
        <v>33</v>
      </c>
      <c r="P371" s="2" t="s">
        <v>491</v>
      </c>
      <c r="Q371" s="4">
        <v>44545</v>
      </c>
      <c r="R371" s="4">
        <v>44635</v>
      </c>
      <c r="S371" s="3">
        <v>-1456</v>
      </c>
      <c r="T371" s="5">
        <v>0</v>
      </c>
      <c r="U371" s="2" t="s">
        <v>20</v>
      </c>
      <c r="V371" s="5">
        <v>600950</v>
      </c>
      <c r="W371" s="5">
        <v>600950</v>
      </c>
      <c r="X371" s="5">
        <v>289602459.95999998</v>
      </c>
    </row>
    <row r="372" spans="1:24" outlineLevel="3">
      <c r="A372" s="2" t="s">
        <v>431</v>
      </c>
      <c r="B372" s="3">
        <v>900564535</v>
      </c>
      <c r="C372" s="3">
        <v>0</v>
      </c>
      <c r="D372" s="2" t="s">
        <v>432</v>
      </c>
      <c r="E372" s="2">
        <v>3148764178</v>
      </c>
      <c r="F372" s="2" t="s">
        <v>433</v>
      </c>
      <c r="G372" s="2" t="s">
        <v>434</v>
      </c>
      <c r="H372" s="2" t="s">
        <v>28</v>
      </c>
      <c r="I372" s="2" t="s">
        <v>11</v>
      </c>
      <c r="J372" s="2" t="s">
        <v>59</v>
      </c>
      <c r="K372" s="2" t="s">
        <v>47</v>
      </c>
      <c r="L372" s="2" t="s">
        <v>48</v>
      </c>
      <c r="M372" s="2" t="s">
        <v>32</v>
      </c>
      <c r="N372" s="3">
        <v>0</v>
      </c>
      <c r="O372" s="2" t="s">
        <v>33</v>
      </c>
      <c r="P372" s="2" t="s">
        <v>492</v>
      </c>
      <c r="Q372" s="4">
        <v>44552</v>
      </c>
      <c r="R372" s="4">
        <v>44642</v>
      </c>
      <c r="S372" s="3">
        <v>-1449</v>
      </c>
      <c r="T372" s="5">
        <v>0</v>
      </c>
      <c r="U372" s="2" t="s">
        <v>20</v>
      </c>
      <c r="V372" s="5">
        <v>4531850</v>
      </c>
      <c r="W372" s="5">
        <v>4531850</v>
      </c>
      <c r="X372" s="5">
        <v>294134309.95999998</v>
      </c>
    </row>
    <row r="373" spans="1:24" outlineLevel="3">
      <c r="A373" s="2" t="s">
        <v>431</v>
      </c>
      <c r="B373" s="3">
        <v>900564535</v>
      </c>
      <c r="C373" s="3">
        <v>0</v>
      </c>
      <c r="D373" s="2" t="s">
        <v>432</v>
      </c>
      <c r="E373" s="2">
        <v>3148764178</v>
      </c>
      <c r="F373" s="2" t="s">
        <v>433</v>
      </c>
      <c r="G373" s="2" t="s">
        <v>434</v>
      </c>
      <c r="H373" s="2" t="s">
        <v>28</v>
      </c>
      <c r="I373" s="2" t="s">
        <v>11</v>
      </c>
      <c r="J373" s="2" t="s">
        <v>59</v>
      </c>
      <c r="K373" s="2" t="s">
        <v>47</v>
      </c>
      <c r="L373" s="2" t="s">
        <v>48</v>
      </c>
      <c r="M373" s="2" t="s">
        <v>32</v>
      </c>
      <c r="N373" s="3">
        <v>0</v>
      </c>
      <c r="O373" s="2" t="s">
        <v>33</v>
      </c>
      <c r="P373" s="2" t="s">
        <v>493</v>
      </c>
      <c r="Q373" s="4">
        <v>44552</v>
      </c>
      <c r="R373" s="4">
        <v>44642</v>
      </c>
      <c r="S373" s="3">
        <v>-1449</v>
      </c>
      <c r="T373" s="5">
        <v>0</v>
      </c>
      <c r="U373" s="2" t="s">
        <v>20</v>
      </c>
      <c r="V373" s="5">
        <v>14868429</v>
      </c>
      <c r="W373" s="5">
        <v>14868429</v>
      </c>
      <c r="X373" s="5">
        <v>309002738.95999998</v>
      </c>
    </row>
    <row r="374" spans="1:24" outlineLevel="3">
      <c r="A374" s="2" t="s">
        <v>431</v>
      </c>
      <c r="B374" s="3">
        <v>900564535</v>
      </c>
      <c r="C374" s="3">
        <v>0</v>
      </c>
      <c r="D374" s="2" t="s">
        <v>432</v>
      </c>
      <c r="E374" s="2">
        <v>3148764178</v>
      </c>
      <c r="F374" s="2" t="s">
        <v>433</v>
      </c>
      <c r="G374" s="2" t="s">
        <v>434</v>
      </c>
      <c r="H374" s="2" t="s">
        <v>28</v>
      </c>
      <c r="I374" s="2" t="s">
        <v>11</v>
      </c>
      <c r="J374" s="2" t="s">
        <v>59</v>
      </c>
      <c r="K374" s="2" t="s">
        <v>47</v>
      </c>
      <c r="L374" s="2" t="s">
        <v>48</v>
      </c>
      <c r="M374" s="2" t="s">
        <v>32</v>
      </c>
      <c r="N374" s="3">
        <v>0</v>
      </c>
      <c r="O374" s="2" t="s">
        <v>33</v>
      </c>
      <c r="P374" s="2" t="s">
        <v>494</v>
      </c>
      <c r="Q374" s="4">
        <v>44553</v>
      </c>
      <c r="R374" s="4">
        <v>44643</v>
      </c>
      <c r="S374" s="3">
        <v>-1448</v>
      </c>
      <c r="T374" s="5">
        <v>0</v>
      </c>
      <c r="U374" s="2" t="s">
        <v>20</v>
      </c>
      <c r="V374" s="5">
        <v>5711179.5</v>
      </c>
      <c r="W374" s="5">
        <v>5711179.5</v>
      </c>
      <c r="X374" s="5">
        <v>314713918.45999998</v>
      </c>
    </row>
    <row r="375" spans="1:24" outlineLevel="3">
      <c r="A375" s="2" t="s">
        <v>431</v>
      </c>
      <c r="B375" s="3">
        <v>900564535</v>
      </c>
      <c r="C375" s="3">
        <v>0</v>
      </c>
      <c r="D375" s="2" t="s">
        <v>432</v>
      </c>
      <c r="E375" s="2">
        <v>3148764178</v>
      </c>
      <c r="F375" s="2" t="s">
        <v>433</v>
      </c>
      <c r="G375" s="2" t="s">
        <v>434</v>
      </c>
      <c r="H375" s="2" t="s">
        <v>28</v>
      </c>
      <c r="I375" s="2" t="s">
        <v>11</v>
      </c>
      <c r="J375" s="2" t="s">
        <v>59</v>
      </c>
      <c r="K375" s="2" t="s">
        <v>47</v>
      </c>
      <c r="L375" s="2" t="s">
        <v>48</v>
      </c>
      <c r="M375" s="2" t="s">
        <v>32</v>
      </c>
      <c r="N375" s="3">
        <v>0</v>
      </c>
      <c r="O375" s="2" t="s">
        <v>33</v>
      </c>
      <c r="P375" s="2" t="s">
        <v>495</v>
      </c>
      <c r="Q375" s="4">
        <v>44581</v>
      </c>
      <c r="R375" s="4">
        <v>44671</v>
      </c>
      <c r="S375" s="3">
        <v>-1421</v>
      </c>
      <c r="T375" s="5">
        <v>0</v>
      </c>
      <c r="U375" s="2" t="s">
        <v>20</v>
      </c>
      <c r="V375" s="5">
        <v>22946422.5</v>
      </c>
      <c r="W375" s="5">
        <v>22946422.5</v>
      </c>
      <c r="X375" s="5">
        <v>337660340.95999998</v>
      </c>
    </row>
    <row r="376" spans="1:24" outlineLevel="3">
      <c r="A376" s="2" t="s">
        <v>431</v>
      </c>
      <c r="B376" s="3">
        <v>900564535</v>
      </c>
      <c r="C376" s="3">
        <v>0</v>
      </c>
      <c r="D376" s="2" t="s">
        <v>432</v>
      </c>
      <c r="E376" s="2">
        <v>3148764178</v>
      </c>
      <c r="F376" s="2" t="s">
        <v>433</v>
      </c>
      <c r="G376" s="2" t="s">
        <v>434</v>
      </c>
      <c r="H376" s="2" t="s">
        <v>28</v>
      </c>
      <c r="I376" s="2" t="s">
        <v>11</v>
      </c>
      <c r="J376" s="2" t="s">
        <v>59</v>
      </c>
      <c r="K376" s="2" t="s">
        <v>47</v>
      </c>
      <c r="L376" s="2" t="s">
        <v>48</v>
      </c>
      <c r="M376" s="2" t="s">
        <v>32</v>
      </c>
      <c r="N376" s="3">
        <v>0</v>
      </c>
      <c r="O376" s="2" t="s">
        <v>33</v>
      </c>
      <c r="P376" s="2" t="s">
        <v>496</v>
      </c>
      <c r="Q376" s="4">
        <v>44610</v>
      </c>
      <c r="R376" s="4">
        <v>44699</v>
      </c>
      <c r="S376" s="3">
        <v>-1393</v>
      </c>
      <c r="T376" s="5">
        <v>0</v>
      </c>
      <c r="U376" s="2" t="s">
        <v>20</v>
      </c>
      <c r="V376" s="5">
        <v>6563144</v>
      </c>
      <c r="W376" s="5">
        <v>6563144</v>
      </c>
      <c r="X376" s="5">
        <v>344223484.95999998</v>
      </c>
    </row>
    <row r="377" spans="1:24" outlineLevel="3">
      <c r="A377" s="2" t="s">
        <v>431</v>
      </c>
      <c r="B377" s="3">
        <v>900564535</v>
      </c>
      <c r="C377" s="3">
        <v>0</v>
      </c>
      <c r="D377" s="2" t="s">
        <v>432</v>
      </c>
      <c r="E377" s="2">
        <v>3148764178</v>
      </c>
      <c r="F377" s="2" t="s">
        <v>433</v>
      </c>
      <c r="G377" s="2" t="s">
        <v>434</v>
      </c>
      <c r="H377" s="2" t="s">
        <v>28</v>
      </c>
      <c r="I377" s="2" t="s">
        <v>11</v>
      </c>
      <c r="J377" s="2" t="s">
        <v>59</v>
      </c>
      <c r="K377" s="2" t="s">
        <v>47</v>
      </c>
      <c r="L377" s="2" t="s">
        <v>48</v>
      </c>
      <c r="M377" s="2" t="s">
        <v>32</v>
      </c>
      <c r="N377" s="3">
        <v>0</v>
      </c>
      <c r="O377" s="2" t="s">
        <v>33</v>
      </c>
      <c r="P377" s="2" t="s">
        <v>497</v>
      </c>
      <c r="Q377" s="4">
        <v>44610</v>
      </c>
      <c r="R377" s="4">
        <v>44699</v>
      </c>
      <c r="S377" s="3">
        <v>-1393</v>
      </c>
      <c r="T377" s="5">
        <v>0</v>
      </c>
      <c r="U377" s="2" t="s">
        <v>20</v>
      </c>
      <c r="V377" s="5">
        <v>3005700</v>
      </c>
      <c r="W377" s="5">
        <v>3005700</v>
      </c>
      <c r="X377" s="5">
        <v>347229184.95999998</v>
      </c>
    </row>
    <row r="378" spans="1:24" outlineLevel="3">
      <c r="A378" s="2" t="s">
        <v>431</v>
      </c>
      <c r="B378" s="3">
        <v>900564535</v>
      </c>
      <c r="C378" s="3">
        <v>0</v>
      </c>
      <c r="D378" s="2" t="s">
        <v>432</v>
      </c>
      <c r="E378" s="2">
        <v>3148764178</v>
      </c>
      <c r="F378" s="2" t="s">
        <v>433</v>
      </c>
      <c r="G378" s="2" t="s">
        <v>434</v>
      </c>
      <c r="H378" s="2" t="s">
        <v>28</v>
      </c>
      <c r="I378" s="2" t="s">
        <v>11</v>
      </c>
      <c r="J378" s="2" t="s">
        <v>59</v>
      </c>
      <c r="K378" s="2" t="s">
        <v>47</v>
      </c>
      <c r="L378" s="2" t="s">
        <v>48</v>
      </c>
      <c r="M378" s="2" t="s">
        <v>32</v>
      </c>
      <c r="N378" s="3">
        <v>0</v>
      </c>
      <c r="O378" s="2" t="s">
        <v>33</v>
      </c>
      <c r="P378" s="2" t="s">
        <v>498</v>
      </c>
      <c r="Q378" s="4">
        <v>44617</v>
      </c>
      <c r="R378" s="4">
        <v>44706</v>
      </c>
      <c r="S378" s="3">
        <v>-1386</v>
      </c>
      <c r="T378" s="5">
        <v>0</v>
      </c>
      <c r="U378" s="2" t="s">
        <v>20</v>
      </c>
      <c r="V378" s="5">
        <v>5711179.5</v>
      </c>
      <c r="W378" s="5">
        <v>5711179.5</v>
      </c>
      <c r="X378" s="5">
        <v>352940364.45999998</v>
      </c>
    </row>
    <row r="379" spans="1:24" outlineLevel="3">
      <c r="A379" s="2" t="s">
        <v>431</v>
      </c>
      <c r="B379" s="3">
        <v>900564535</v>
      </c>
      <c r="C379" s="3">
        <v>0</v>
      </c>
      <c r="D379" s="2" t="s">
        <v>432</v>
      </c>
      <c r="E379" s="2">
        <v>3148764178</v>
      </c>
      <c r="F379" s="2" t="s">
        <v>433</v>
      </c>
      <c r="G379" s="2" t="s">
        <v>434</v>
      </c>
      <c r="H379" s="2" t="s">
        <v>28</v>
      </c>
      <c r="I379" s="2" t="s">
        <v>11</v>
      </c>
      <c r="J379" s="2" t="s">
        <v>59</v>
      </c>
      <c r="K379" s="2" t="s">
        <v>47</v>
      </c>
      <c r="L379" s="2" t="s">
        <v>48</v>
      </c>
      <c r="M379" s="2" t="s">
        <v>32</v>
      </c>
      <c r="N379" s="3">
        <v>0</v>
      </c>
      <c r="O379" s="2" t="s">
        <v>33</v>
      </c>
      <c r="P379" s="2" t="s">
        <v>499</v>
      </c>
      <c r="Q379" s="4">
        <v>44617</v>
      </c>
      <c r="R379" s="4">
        <v>44706</v>
      </c>
      <c r="S379" s="3">
        <v>-1386</v>
      </c>
      <c r="T379" s="5">
        <v>0</v>
      </c>
      <c r="U379" s="2" t="s">
        <v>20</v>
      </c>
      <c r="V379" s="5">
        <v>1367710</v>
      </c>
      <c r="W379" s="5">
        <v>1367710</v>
      </c>
      <c r="X379" s="5">
        <v>354308074.45999998</v>
      </c>
    </row>
    <row r="380" spans="1:24" outlineLevel="3">
      <c r="A380" s="2" t="s">
        <v>431</v>
      </c>
      <c r="B380" s="3">
        <v>900564535</v>
      </c>
      <c r="C380" s="3">
        <v>0</v>
      </c>
      <c r="D380" s="2" t="s">
        <v>432</v>
      </c>
      <c r="E380" s="2">
        <v>3148764178</v>
      </c>
      <c r="F380" s="2" t="s">
        <v>433</v>
      </c>
      <c r="G380" s="2" t="s">
        <v>434</v>
      </c>
      <c r="H380" s="2" t="s">
        <v>28</v>
      </c>
      <c r="I380" s="2" t="s">
        <v>11</v>
      </c>
      <c r="J380" s="2" t="s">
        <v>59</v>
      </c>
      <c r="K380" s="2" t="s">
        <v>47</v>
      </c>
      <c r="L380" s="2" t="s">
        <v>48</v>
      </c>
      <c r="M380" s="2" t="s">
        <v>32</v>
      </c>
      <c r="N380" s="3">
        <v>0</v>
      </c>
      <c r="O380" s="2" t="s">
        <v>33</v>
      </c>
      <c r="P380" s="2" t="s">
        <v>500</v>
      </c>
      <c r="Q380" s="4">
        <v>44622</v>
      </c>
      <c r="R380" s="4">
        <v>44714</v>
      </c>
      <c r="S380" s="3">
        <v>-1379</v>
      </c>
      <c r="T380" s="5">
        <v>0</v>
      </c>
      <c r="U380" s="2" t="s">
        <v>20</v>
      </c>
      <c r="V380" s="5">
        <v>2605522.5</v>
      </c>
      <c r="W380" s="5">
        <v>2605522.5</v>
      </c>
      <c r="X380" s="5">
        <v>356913596.95999998</v>
      </c>
    </row>
    <row r="381" spans="1:24" outlineLevel="3">
      <c r="A381" s="2" t="s">
        <v>431</v>
      </c>
      <c r="B381" s="3">
        <v>900564535</v>
      </c>
      <c r="C381" s="3">
        <v>0</v>
      </c>
      <c r="D381" s="2" t="s">
        <v>432</v>
      </c>
      <c r="E381" s="2">
        <v>3148764178</v>
      </c>
      <c r="F381" s="2" t="s">
        <v>433</v>
      </c>
      <c r="G381" s="2" t="s">
        <v>434</v>
      </c>
      <c r="H381" s="2" t="s">
        <v>28</v>
      </c>
      <c r="I381" s="2" t="s">
        <v>11</v>
      </c>
      <c r="J381" s="2" t="s">
        <v>59</v>
      </c>
      <c r="K381" s="2" t="s">
        <v>47</v>
      </c>
      <c r="L381" s="2" t="s">
        <v>48</v>
      </c>
      <c r="M381" s="2" t="s">
        <v>32</v>
      </c>
      <c r="N381" s="3">
        <v>0</v>
      </c>
      <c r="O381" s="2" t="s">
        <v>33</v>
      </c>
      <c r="P381" s="2" t="s">
        <v>501</v>
      </c>
      <c r="Q381" s="4">
        <v>46006</v>
      </c>
      <c r="R381" s="4">
        <v>46006</v>
      </c>
      <c r="S381" s="3">
        <v>-106</v>
      </c>
      <c r="T381" s="5">
        <v>0</v>
      </c>
      <c r="U381" s="2" t="s">
        <v>20</v>
      </c>
      <c r="V381" s="5">
        <v>-19699.25</v>
      </c>
      <c r="W381" s="5">
        <v>-19699.25</v>
      </c>
      <c r="X381" s="5">
        <v>356893897.70999998</v>
      </c>
    </row>
    <row r="382" spans="1:24" outlineLevel="3">
      <c r="A382" s="2" t="s">
        <v>431</v>
      </c>
      <c r="B382" s="3">
        <v>900564535</v>
      </c>
      <c r="C382" s="3">
        <v>0</v>
      </c>
      <c r="D382" s="2" t="s">
        <v>432</v>
      </c>
      <c r="E382" s="2">
        <v>3148764178</v>
      </c>
      <c r="F382" s="2" t="s">
        <v>433</v>
      </c>
      <c r="G382" s="2" t="s">
        <v>434</v>
      </c>
      <c r="H382" s="2" t="s">
        <v>28</v>
      </c>
      <c r="I382" s="2" t="s">
        <v>11</v>
      </c>
      <c r="J382" s="2" t="s">
        <v>59</v>
      </c>
      <c r="K382" s="2" t="s">
        <v>47</v>
      </c>
      <c r="L382" s="2" t="s">
        <v>48</v>
      </c>
      <c r="M382" s="2" t="s">
        <v>32</v>
      </c>
      <c r="N382" s="3">
        <v>0</v>
      </c>
      <c r="O382" s="2" t="s">
        <v>33</v>
      </c>
      <c r="P382" s="2" t="s">
        <v>502</v>
      </c>
      <c r="Q382" s="4">
        <v>46056</v>
      </c>
      <c r="R382" s="4">
        <v>46056</v>
      </c>
      <c r="S382" s="3">
        <v>-58</v>
      </c>
      <c r="T382" s="5">
        <v>0</v>
      </c>
      <c r="U382" s="2" t="s">
        <v>20</v>
      </c>
      <c r="V382" s="5">
        <v>-18936.400000000001</v>
      </c>
      <c r="W382" s="5">
        <v>-18936.400000000001</v>
      </c>
      <c r="X382" s="5">
        <v>356874961.31</v>
      </c>
    </row>
    <row r="383" spans="1:24" outlineLevel="3">
      <c r="A383" s="2" t="s">
        <v>431</v>
      </c>
      <c r="B383" s="3">
        <v>900564535</v>
      </c>
      <c r="C383" s="3">
        <v>0</v>
      </c>
      <c r="D383" s="2" t="s">
        <v>432</v>
      </c>
      <c r="E383" s="2">
        <v>3148764178</v>
      </c>
      <c r="F383" s="2" t="s">
        <v>433</v>
      </c>
      <c r="G383" s="2" t="s">
        <v>434</v>
      </c>
      <c r="H383" s="2" t="s">
        <v>28</v>
      </c>
      <c r="I383" s="2" t="s">
        <v>11</v>
      </c>
      <c r="J383" s="2" t="s">
        <v>59</v>
      </c>
      <c r="K383" s="2" t="s">
        <v>47</v>
      </c>
      <c r="L383" s="2" t="s">
        <v>48</v>
      </c>
      <c r="M383" s="2" t="s">
        <v>32</v>
      </c>
      <c r="N383" s="3">
        <v>0</v>
      </c>
      <c r="O383" s="2" t="s">
        <v>33</v>
      </c>
      <c r="P383" s="2" t="s">
        <v>503</v>
      </c>
      <c r="Q383" s="4">
        <v>46058</v>
      </c>
      <c r="R383" s="4">
        <v>46058</v>
      </c>
      <c r="S383" s="3">
        <v>-56</v>
      </c>
      <c r="T383" s="5">
        <v>0</v>
      </c>
      <c r="U383" s="2" t="s">
        <v>20</v>
      </c>
      <c r="V383" s="5">
        <v>-1860446</v>
      </c>
      <c r="W383" s="5">
        <v>-1860446</v>
      </c>
      <c r="X383" s="5">
        <v>355014515.31</v>
      </c>
    </row>
    <row r="384" spans="1:24" outlineLevel="2">
      <c r="M384" s="14" t="s">
        <v>742</v>
      </c>
      <c r="T384" s="5">
        <f>SUBTOTAL(9,T315:T383)</f>
        <v>0</v>
      </c>
      <c r="V384" s="5">
        <f>SUBTOTAL(9,V315:V383)</f>
        <v>355014515.31000006</v>
      </c>
      <c r="W384" s="5">
        <f>SUBTOTAL(9,W315:W383)</f>
        <v>355014515.31000006</v>
      </c>
    </row>
    <row r="385" spans="1:24" outlineLevel="1">
      <c r="A385" s="14" t="s">
        <v>720</v>
      </c>
      <c r="T385" s="5">
        <f>SUBTOTAL(9,T315:T383)</f>
        <v>0</v>
      </c>
      <c r="V385" s="5">
        <f>SUBTOTAL(9,V315:V383)</f>
        <v>355014515.31000006</v>
      </c>
      <c r="W385" s="5">
        <f>SUBTOTAL(9,W315:W383)</f>
        <v>355014515.31000006</v>
      </c>
    </row>
    <row r="386" spans="1:24" outlineLevel="3">
      <c r="A386" s="2" t="s">
        <v>504</v>
      </c>
      <c r="B386" s="3">
        <v>900742771</v>
      </c>
      <c r="C386" s="3">
        <v>0</v>
      </c>
      <c r="D386" s="2" t="s">
        <v>505</v>
      </c>
      <c r="E386" s="2">
        <v>3178305557</v>
      </c>
      <c r="F386" s="2" t="s">
        <v>506</v>
      </c>
      <c r="G386" s="2" t="s">
        <v>507</v>
      </c>
      <c r="H386" s="2" t="s">
        <v>28</v>
      </c>
      <c r="I386" s="2" t="s">
        <v>11</v>
      </c>
      <c r="J386" s="2" t="s">
        <v>67</v>
      </c>
      <c r="K386" s="2" t="s">
        <v>47</v>
      </c>
      <c r="L386" s="2" t="s">
        <v>48</v>
      </c>
      <c r="M386" s="2" t="s">
        <v>32</v>
      </c>
      <c r="N386" s="3">
        <v>0</v>
      </c>
      <c r="O386" s="2" t="s">
        <v>33</v>
      </c>
      <c r="P386" s="2" t="s">
        <v>508</v>
      </c>
      <c r="Q386" s="4">
        <v>46070</v>
      </c>
      <c r="R386" s="4">
        <v>46129</v>
      </c>
      <c r="S386" s="3">
        <v>16</v>
      </c>
      <c r="T386" s="5">
        <v>0</v>
      </c>
      <c r="U386" s="2" t="s">
        <v>58</v>
      </c>
      <c r="V386" s="5">
        <v>706432.7</v>
      </c>
      <c r="W386" s="5">
        <v>0</v>
      </c>
      <c r="X386" s="5">
        <v>0</v>
      </c>
    </row>
    <row r="387" spans="1:24" outlineLevel="3">
      <c r="A387" s="2" t="s">
        <v>504</v>
      </c>
      <c r="B387" s="3">
        <v>900742771</v>
      </c>
      <c r="C387" s="3">
        <v>0</v>
      </c>
      <c r="D387" s="2" t="s">
        <v>505</v>
      </c>
      <c r="E387" s="2">
        <v>3178305557</v>
      </c>
      <c r="F387" s="2" t="s">
        <v>506</v>
      </c>
      <c r="G387" s="2" t="s">
        <v>507</v>
      </c>
      <c r="H387" s="2" t="s">
        <v>28</v>
      </c>
      <c r="I387" s="2" t="s">
        <v>11</v>
      </c>
      <c r="J387" s="2" t="s">
        <v>67</v>
      </c>
      <c r="K387" s="2" t="s">
        <v>47</v>
      </c>
      <c r="L387" s="2" t="s">
        <v>48</v>
      </c>
      <c r="M387" s="2" t="s">
        <v>32</v>
      </c>
      <c r="N387" s="3">
        <v>0</v>
      </c>
      <c r="O387" s="2" t="s">
        <v>33</v>
      </c>
      <c r="P387" s="2" t="s">
        <v>509</v>
      </c>
      <c r="Q387" s="4">
        <v>46070</v>
      </c>
      <c r="R387" s="4">
        <v>46129</v>
      </c>
      <c r="S387" s="3">
        <v>16</v>
      </c>
      <c r="T387" s="5">
        <v>0</v>
      </c>
      <c r="U387" s="2" t="s">
        <v>58</v>
      </c>
      <c r="V387" s="5">
        <v>706432.7</v>
      </c>
      <c r="W387" s="5">
        <v>0</v>
      </c>
      <c r="X387" s="5">
        <v>0</v>
      </c>
    </row>
    <row r="388" spans="1:24" outlineLevel="2">
      <c r="M388" s="14" t="s">
        <v>742</v>
      </c>
      <c r="T388" s="5">
        <f>SUBTOTAL(9,T386:T387)</f>
        <v>0</v>
      </c>
      <c r="V388" s="5">
        <f>SUBTOTAL(9,V386:V387)</f>
        <v>1412865.4</v>
      </c>
      <c r="W388" s="5">
        <f>SUBTOTAL(9,W386:W387)</f>
        <v>0</v>
      </c>
    </row>
    <row r="389" spans="1:24" outlineLevel="1">
      <c r="A389" s="14" t="s">
        <v>721</v>
      </c>
      <c r="T389" s="5">
        <f>SUBTOTAL(9,T386:T387)</f>
        <v>0</v>
      </c>
      <c r="V389" s="5">
        <f>SUBTOTAL(9,V386:V387)</f>
        <v>1412865.4</v>
      </c>
      <c r="W389" s="5">
        <f>SUBTOTAL(9,W386:W387)</f>
        <v>0</v>
      </c>
    </row>
    <row r="390" spans="1:24" outlineLevel="3">
      <c r="A390" s="2" t="s">
        <v>510</v>
      </c>
      <c r="B390" s="3">
        <v>900750270</v>
      </c>
      <c r="C390" s="3">
        <v>0</v>
      </c>
      <c r="D390" s="2" t="s">
        <v>511</v>
      </c>
      <c r="E390" s="2">
        <v>3473913</v>
      </c>
      <c r="F390" s="2" t="s">
        <v>512</v>
      </c>
      <c r="G390" s="2" t="s">
        <v>38</v>
      </c>
      <c r="H390" s="2" t="s">
        <v>28</v>
      </c>
      <c r="I390" s="2" t="s">
        <v>11</v>
      </c>
      <c r="J390" s="2" t="s">
        <v>54</v>
      </c>
      <c r="K390" s="2" t="s">
        <v>55</v>
      </c>
      <c r="L390" s="2" t="s">
        <v>56</v>
      </c>
      <c r="M390" s="2" t="s">
        <v>32</v>
      </c>
      <c r="N390" s="3">
        <v>0</v>
      </c>
      <c r="O390" s="2" t="s">
        <v>33</v>
      </c>
      <c r="P390" s="2" t="s">
        <v>513</v>
      </c>
      <c r="Q390" s="4">
        <v>46064</v>
      </c>
      <c r="R390" s="4">
        <v>46106</v>
      </c>
      <c r="S390" s="3">
        <v>-6</v>
      </c>
      <c r="T390" s="5">
        <v>0</v>
      </c>
      <c r="U390" s="2" t="s">
        <v>20</v>
      </c>
      <c r="V390" s="5">
        <v>3743850.13</v>
      </c>
      <c r="W390" s="5">
        <v>3743850.13</v>
      </c>
      <c r="X390" s="5">
        <v>3743850.13</v>
      </c>
    </row>
    <row r="391" spans="1:24" outlineLevel="3">
      <c r="A391" s="2" t="s">
        <v>510</v>
      </c>
      <c r="B391" s="3">
        <v>900750270</v>
      </c>
      <c r="C391" s="3">
        <v>0</v>
      </c>
      <c r="D391" s="2" t="s">
        <v>511</v>
      </c>
      <c r="E391" s="2">
        <v>3473913</v>
      </c>
      <c r="F391" s="2" t="s">
        <v>512</v>
      </c>
      <c r="G391" s="2" t="s">
        <v>38</v>
      </c>
      <c r="H391" s="2" t="s">
        <v>28</v>
      </c>
      <c r="I391" s="2" t="s">
        <v>11</v>
      </c>
      <c r="J391" s="2" t="s">
        <v>54</v>
      </c>
      <c r="K391" s="2" t="s">
        <v>55</v>
      </c>
      <c r="L391" s="2" t="s">
        <v>56</v>
      </c>
      <c r="M391" s="2" t="s">
        <v>32</v>
      </c>
      <c r="N391" s="3">
        <v>0</v>
      </c>
      <c r="O391" s="2" t="s">
        <v>33</v>
      </c>
      <c r="P391" s="2" t="s">
        <v>514</v>
      </c>
      <c r="Q391" s="4">
        <v>46071</v>
      </c>
      <c r="R391" s="4">
        <v>46114</v>
      </c>
      <c r="S391" s="3">
        <v>1</v>
      </c>
      <c r="T391" s="5">
        <v>0</v>
      </c>
      <c r="U391" s="2" t="s">
        <v>58</v>
      </c>
      <c r="V391" s="5">
        <v>8989590.7300000004</v>
      </c>
      <c r="W391" s="5">
        <v>0</v>
      </c>
      <c r="X391" s="5">
        <v>3743850.13</v>
      </c>
    </row>
    <row r="392" spans="1:24" outlineLevel="3">
      <c r="A392" s="2" t="s">
        <v>510</v>
      </c>
      <c r="B392" s="3">
        <v>900750270</v>
      </c>
      <c r="C392" s="3">
        <v>0</v>
      </c>
      <c r="D392" s="2" t="s">
        <v>511</v>
      </c>
      <c r="E392" s="2">
        <v>3473913</v>
      </c>
      <c r="F392" s="2" t="s">
        <v>512</v>
      </c>
      <c r="G392" s="2" t="s">
        <v>38</v>
      </c>
      <c r="H392" s="2" t="s">
        <v>28</v>
      </c>
      <c r="I392" s="2" t="s">
        <v>11</v>
      </c>
      <c r="J392" s="2" t="s">
        <v>54</v>
      </c>
      <c r="K392" s="2" t="s">
        <v>55</v>
      </c>
      <c r="L392" s="2" t="s">
        <v>56</v>
      </c>
      <c r="M392" s="2" t="s">
        <v>32</v>
      </c>
      <c r="N392" s="3">
        <v>0</v>
      </c>
      <c r="O392" s="2" t="s">
        <v>33</v>
      </c>
      <c r="P392" s="2" t="s">
        <v>515</v>
      </c>
      <c r="Q392" s="4">
        <v>46078</v>
      </c>
      <c r="R392" s="4">
        <v>46121</v>
      </c>
      <c r="S392" s="3">
        <v>8</v>
      </c>
      <c r="T392" s="5">
        <v>0</v>
      </c>
      <c r="U392" s="2" t="s">
        <v>58</v>
      </c>
      <c r="V392" s="5">
        <v>5461461.8899999997</v>
      </c>
      <c r="W392" s="5">
        <v>0</v>
      </c>
      <c r="X392" s="5">
        <v>3743850.13</v>
      </c>
    </row>
    <row r="393" spans="1:24" outlineLevel="3">
      <c r="A393" s="2" t="s">
        <v>510</v>
      </c>
      <c r="B393" s="3">
        <v>900750270</v>
      </c>
      <c r="C393" s="3">
        <v>0</v>
      </c>
      <c r="D393" s="2" t="s">
        <v>511</v>
      </c>
      <c r="E393" s="2">
        <v>3473913</v>
      </c>
      <c r="F393" s="2" t="s">
        <v>512</v>
      </c>
      <c r="G393" s="2" t="s">
        <v>38</v>
      </c>
      <c r="H393" s="2" t="s">
        <v>28</v>
      </c>
      <c r="I393" s="2" t="s">
        <v>11</v>
      </c>
      <c r="J393" s="2" t="s">
        <v>54</v>
      </c>
      <c r="K393" s="2" t="s">
        <v>55</v>
      </c>
      <c r="L393" s="2" t="s">
        <v>56</v>
      </c>
      <c r="M393" s="2" t="s">
        <v>32</v>
      </c>
      <c r="N393" s="3">
        <v>0</v>
      </c>
      <c r="O393" s="2" t="s">
        <v>33</v>
      </c>
      <c r="P393" s="2" t="s">
        <v>516</v>
      </c>
      <c r="Q393" s="4">
        <v>46090</v>
      </c>
      <c r="R393" s="4">
        <v>46135</v>
      </c>
      <c r="S393" s="3">
        <v>22</v>
      </c>
      <c r="T393" s="5">
        <v>0</v>
      </c>
      <c r="U393" s="2" t="s">
        <v>58</v>
      </c>
      <c r="V393" s="5">
        <v>3600297.5</v>
      </c>
      <c r="W393" s="5">
        <v>0</v>
      </c>
      <c r="X393" s="5">
        <v>3743850.13</v>
      </c>
    </row>
    <row r="394" spans="1:24" outlineLevel="3">
      <c r="A394" s="2" t="s">
        <v>510</v>
      </c>
      <c r="B394" s="3">
        <v>900750270</v>
      </c>
      <c r="C394" s="3">
        <v>0</v>
      </c>
      <c r="D394" s="2" t="s">
        <v>511</v>
      </c>
      <c r="E394" s="2">
        <v>3473913</v>
      </c>
      <c r="F394" s="2" t="s">
        <v>512</v>
      </c>
      <c r="G394" s="2" t="s">
        <v>38</v>
      </c>
      <c r="H394" s="2" t="s">
        <v>28</v>
      </c>
      <c r="I394" s="2" t="s">
        <v>11</v>
      </c>
      <c r="J394" s="2" t="s">
        <v>54</v>
      </c>
      <c r="K394" s="2" t="s">
        <v>55</v>
      </c>
      <c r="L394" s="2" t="s">
        <v>56</v>
      </c>
      <c r="M394" s="2" t="s">
        <v>32</v>
      </c>
      <c r="N394" s="3">
        <v>0</v>
      </c>
      <c r="O394" s="2" t="s">
        <v>33</v>
      </c>
      <c r="P394" s="2" t="s">
        <v>517</v>
      </c>
      <c r="Q394" s="4">
        <v>46092</v>
      </c>
      <c r="R394" s="4">
        <v>46137</v>
      </c>
      <c r="S394" s="3">
        <v>24</v>
      </c>
      <c r="T394" s="5">
        <v>0</v>
      </c>
      <c r="U394" s="2" t="s">
        <v>58</v>
      </c>
      <c r="V394" s="5">
        <v>3695153.01</v>
      </c>
      <c r="W394" s="5">
        <v>0</v>
      </c>
      <c r="X394" s="5">
        <v>3743850.13</v>
      </c>
    </row>
    <row r="395" spans="1:24" outlineLevel="3">
      <c r="A395" s="2" t="s">
        <v>510</v>
      </c>
      <c r="B395" s="3">
        <v>900750270</v>
      </c>
      <c r="C395" s="3">
        <v>0</v>
      </c>
      <c r="D395" s="2" t="s">
        <v>511</v>
      </c>
      <c r="E395" s="2">
        <v>3473913</v>
      </c>
      <c r="F395" s="2" t="s">
        <v>512</v>
      </c>
      <c r="G395" s="2" t="s">
        <v>38</v>
      </c>
      <c r="H395" s="2" t="s">
        <v>28</v>
      </c>
      <c r="I395" s="2" t="s">
        <v>11</v>
      </c>
      <c r="J395" s="2" t="s">
        <v>54</v>
      </c>
      <c r="K395" s="2" t="s">
        <v>55</v>
      </c>
      <c r="L395" s="2" t="s">
        <v>56</v>
      </c>
      <c r="M395" s="2" t="s">
        <v>32</v>
      </c>
      <c r="N395" s="3">
        <v>0</v>
      </c>
      <c r="O395" s="2" t="s">
        <v>33</v>
      </c>
      <c r="P395" s="2" t="s">
        <v>518</v>
      </c>
      <c r="Q395" s="4">
        <v>46092</v>
      </c>
      <c r="R395" s="4">
        <v>46137</v>
      </c>
      <c r="S395" s="3">
        <v>24</v>
      </c>
      <c r="T395" s="5">
        <v>0</v>
      </c>
      <c r="U395" s="2" t="s">
        <v>58</v>
      </c>
      <c r="V395" s="5">
        <v>3493902.39</v>
      </c>
      <c r="W395" s="5">
        <v>0</v>
      </c>
      <c r="X395" s="5">
        <v>3743850.13</v>
      </c>
    </row>
    <row r="396" spans="1:24" outlineLevel="3">
      <c r="A396" s="2" t="s">
        <v>510</v>
      </c>
      <c r="B396" s="3">
        <v>900750270</v>
      </c>
      <c r="C396" s="3">
        <v>0</v>
      </c>
      <c r="D396" s="2" t="s">
        <v>511</v>
      </c>
      <c r="E396" s="2">
        <v>3473913</v>
      </c>
      <c r="F396" s="2" t="s">
        <v>512</v>
      </c>
      <c r="G396" s="2" t="s">
        <v>38</v>
      </c>
      <c r="H396" s="2" t="s">
        <v>28</v>
      </c>
      <c r="I396" s="2" t="s">
        <v>11</v>
      </c>
      <c r="J396" s="2" t="s">
        <v>54</v>
      </c>
      <c r="K396" s="2" t="s">
        <v>55</v>
      </c>
      <c r="L396" s="2" t="s">
        <v>56</v>
      </c>
      <c r="M396" s="2" t="s">
        <v>32</v>
      </c>
      <c r="N396" s="3">
        <v>0</v>
      </c>
      <c r="O396" s="2" t="s">
        <v>33</v>
      </c>
      <c r="P396" s="2" t="s">
        <v>519</v>
      </c>
      <c r="Q396" s="4">
        <v>46100</v>
      </c>
      <c r="R396" s="4">
        <v>46145</v>
      </c>
      <c r="S396" s="3">
        <v>32</v>
      </c>
      <c r="T396" s="5">
        <v>0</v>
      </c>
      <c r="U396" s="2" t="s">
        <v>58</v>
      </c>
      <c r="V396" s="5">
        <v>9234968.7899999991</v>
      </c>
      <c r="W396" s="5">
        <v>0</v>
      </c>
      <c r="X396" s="5">
        <v>3743850.13</v>
      </c>
    </row>
    <row r="397" spans="1:24" outlineLevel="3">
      <c r="A397" s="2" t="s">
        <v>510</v>
      </c>
      <c r="B397" s="3">
        <v>900750270</v>
      </c>
      <c r="C397" s="3">
        <v>0</v>
      </c>
      <c r="D397" s="2" t="s">
        <v>511</v>
      </c>
      <c r="E397" s="2">
        <v>3473913</v>
      </c>
      <c r="F397" s="2" t="s">
        <v>512</v>
      </c>
      <c r="G397" s="2" t="s">
        <v>38</v>
      </c>
      <c r="H397" s="2" t="s">
        <v>28</v>
      </c>
      <c r="I397" s="2" t="s">
        <v>11</v>
      </c>
      <c r="J397" s="2" t="s">
        <v>54</v>
      </c>
      <c r="K397" s="2" t="s">
        <v>55</v>
      </c>
      <c r="L397" s="2" t="s">
        <v>56</v>
      </c>
      <c r="M397" s="2" t="s">
        <v>32</v>
      </c>
      <c r="N397" s="3">
        <v>0</v>
      </c>
      <c r="O397" s="2" t="s">
        <v>33</v>
      </c>
      <c r="P397" s="2" t="s">
        <v>520</v>
      </c>
      <c r="Q397" s="4">
        <v>46106</v>
      </c>
      <c r="R397" s="4">
        <v>46151</v>
      </c>
      <c r="S397" s="3">
        <v>38</v>
      </c>
      <c r="T397" s="5">
        <v>0</v>
      </c>
      <c r="U397" s="2" t="s">
        <v>58</v>
      </c>
      <c r="V397" s="5">
        <v>19977067.030000001</v>
      </c>
      <c r="W397" s="5">
        <v>0</v>
      </c>
      <c r="X397" s="5">
        <v>3743850.13</v>
      </c>
    </row>
    <row r="398" spans="1:24" outlineLevel="2">
      <c r="M398" s="14" t="s">
        <v>742</v>
      </c>
      <c r="T398" s="5">
        <f>SUBTOTAL(9,T390:T397)</f>
        <v>0</v>
      </c>
      <c r="V398" s="5">
        <f>SUBTOTAL(9,V390:V397)</f>
        <v>58196291.469999999</v>
      </c>
      <c r="W398" s="5">
        <f>SUBTOTAL(9,W390:W397)</f>
        <v>3743850.13</v>
      </c>
    </row>
    <row r="399" spans="1:24" outlineLevel="1">
      <c r="A399" s="14" t="s">
        <v>722</v>
      </c>
      <c r="T399" s="5">
        <f>SUBTOTAL(9,T390:T397)</f>
        <v>0</v>
      </c>
      <c r="V399" s="5">
        <f>SUBTOTAL(9,V390:V397)</f>
        <v>58196291.469999999</v>
      </c>
      <c r="W399" s="5">
        <f>SUBTOTAL(9,W390:W397)</f>
        <v>3743850.13</v>
      </c>
    </row>
    <row r="400" spans="1:24" outlineLevel="3">
      <c r="A400" s="2" t="s">
        <v>521</v>
      </c>
      <c r="B400" s="3">
        <v>900781118</v>
      </c>
      <c r="C400" s="3">
        <v>0</v>
      </c>
      <c r="D400" s="2" t="s">
        <v>522</v>
      </c>
      <c r="E400" s="2">
        <v>7028346</v>
      </c>
      <c r="F400" s="2" t="s">
        <v>523</v>
      </c>
      <c r="G400" s="2" t="s">
        <v>53</v>
      </c>
      <c r="H400" s="2" t="s">
        <v>28</v>
      </c>
      <c r="I400" s="2" t="s">
        <v>11</v>
      </c>
      <c r="J400" s="2" t="s">
        <v>67</v>
      </c>
      <c r="K400" s="2" t="s">
        <v>47</v>
      </c>
      <c r="L400" s="2" t="s">
        <v>48</v>
      </c>
      <c r="M400" s="2" t="s">
        <v>32</v>
      </c>
      <c r="N400" s="3">
        <v>0</v>
      </c>
      <c r="O400" s="2" t="s">
        <v>33</v>
      </c>
      <c r="P400" s="2" t="s">
        <v>524</v>
      </c>
      <c r="Q400" s="4">
        <v>46085</v>
      </c>
      <c r="R400" s="4">
        <v>46115</v>
      </c>
      <c r="S400" s="3">
        <v>2</v>
      </c>
      <c r="T400" s="5">
        <v>0</v>
      </c>
      <c r="U400" s="2" t="s">
        <v>58</v>
      </c>
      <c r="V400" s="5">
        <v>1145097.5900000001</v>
      </c>
      <c r="W400" s="5">
        <v>0</v>
      </c>
      <c r="X400" s="5">
        <v>0</v>
      </c>
    </row>
    <row r="401" spans="1:24" outlineLevel="2">
      <c r="M401" s="14" t="s">
        <v>742</v>
      </c>
      <c r="T401" s="5">
        <f>SUBTOTAL(9,T400:T400)</f>
        <v>0</v>
      </c>
      <c r="V401" s="5">
        <f>SUBTOTAL(9,V400:V400)</f>
        <v>1145097.5900000001</v>
      </c>
      <c r="W401" s="5">
        <f>SUBTOTAL(9,W400:W400)</f>
        <v>0</v>
      </c>
    </row>
    <row r="402" spans="1:24" outlineLevel="1">
      <c r="A402" s="14" t="s">
        <v>723</v>
      </c>
      <c r="T402" s="5">
        <f>SUBTOTAL(9,T400:T400)</f>
        <v>0</v>
      </c>
      <c r="V402" s="5">
        <f>SUBTOTAL(9,V400:V400)</f>
        <v>1145097.5900000001</v>
      </c>
      <c r="W402" s="5">
        <f>SUBTOTAL(9,W400:W400)</f>
        <v>0</v>
      </c>
    </row>
    <row r="403" spans="1:24" outlineLevel="3">
      <c r="A403" s="2" t="s">
        <v>525</v>
      </c>
      <c r="B403" s="3">
        <v>900826583</v>
      </c>
      <c r="C403" s="3">
        <v>0</v>
      </c>
      <c r="D403" s="2" t="s">
        <v>526</v>
      </c>
      <c r="E403" s="2">
        <v>7022085</v>
      </c>
      <c r="F403" s="2" t="s">
        <v>527</v>
      </c>
      <c r="G403" s="2" t="s">
        <v>38</v>
      </c>
      <c r="H403" s="2" t="s">
        <v>28</v>
      </c>
      <c r="I403" s="2" t="s">
        <v>11</v>
      </c>
      <c r="J403" s="2" t="s">
        <v>93</v>
      </c>
      <c r="K403" s="2" t="s">
        <v>85</v>
      </c>
      <c r="L403" s="2" t="s">
        <v>86</v>
      </c>
      <c r="M403" s="2" t="s">
        <v>32</v>
      </c>
      <c r="N403" s="3">
        <v>0</v>
      </c>
      <c r="O403" s="2" t="s">
        <v>33</v>
      </c>
      <c r="P403" s="2" t="s">
        <v>528</v>
      </c>
      <c r="Q403" s="4">
        <v>43406</v>
      </c>
      <c r="R403" s="4">
        <v>43466</v>
      </c>
      <c r="S403" s="3">
        <v>-2610</v>
      </c>
      <c r="T403" s="5">
        <v>0</v>
      </c>
      <c r="U403" s="2" t="s">
        <v>20</v>
      </c>
      <c r="V403" s="5">
        <v>92980.01</v>
      </c>
      <c r="W403" s="5">
        <v>92980.01</v>
      </c>
      <c r="X403" s="5">
        <v>92980.01</v>
      </c>
    </row>
    <row r="404" spans="1:24" outlineLevel="3">
      <c r="A404" s="2" t="s">
        <v>525</v>
      </c>
      <c r="B404" s="3">
        <v>900826583</v>
      </c>
      <c r="C404" s="3">
        <v>0</v>
      </c>
      <c r="D404" s="2" t="s">
        <v>526</v>
      </c>
      <c r="E404" s="2">
        <v>7022085</v>
      </c>
      <c r="F404" s="2" t="s">
        <v>527</v>
      </c>
      <c r="G404" s="2" t="s">
        <v>38</v>
      </c>
      <c r="H404" s="2" t="s">
        <v>28</v>
      </c>
      <c r="I404" s="2" t="s">
        <v>11</v>
      </c>
      <c r="J404" s="2" t="s">
        <v>93</v>
      </c>
      <c r="K404" s="2" t="s">
        <v>85</v>
      </c>
      <c r="L404" s="2" t="s">
        <v>86</v>
      </c>
      <c r="M404" s="2" t="s">
        <v>32</v>
      </c>
      <c r="N404" s="3">
        <v>0</v>
      </c>
      <c r="O404" s="2" t="s">
        <v>33</v>
      </c>
      <c r="P404" s="2" t="s">
        <v>529</v>
      </c>
      <c r="Q404" s="4">
        <v>43413</v>
      </c>
      <c r="R404" s="4">
        <v>43473</v>
      </c>
      <c r="S404" s="3">
        <v>-2603</v>
      </c>
      <c r="T404" s="5">
        <v>0</v>
      </c>
      <c r="U404" s="2" t="s">
        <v>20</v>
      </c>
      <c r="V404" s="5">
        <v>3278400.36</v>
      </c>
      <c r="W404" s="5">
        <v>3278400.36</v>
      </c>
      <c r="X404" s="5">
        <v>3371380.37</v>
      </c>
    </row>
    <row r="405" spans="1:24" outlineLevel="3">
      <c r="A405" s="2" t="s">
        <v>525</v>
      </c>
      <c r="B405" s="3">
        <v>900826583</v>
      </c>
      <c r="C405" s="3">
        <v>0</v>
      </c>
      <c r="D405" s="2" t="s">
        <v>526</v>
      </c>
      <c r="E405" s="2">
        <v>7022085</v>
      </c>
      <c r="F405" s="2" t="s">
        <v>527</v>
      </c>
      <c r="G405" s="2" t="s">
        <v>38</v>
      </c>
      <c r="H405" s="2" t="s">
        <v>28</v>
      </c>
      <c r="I405" s="2" t="s">
        <v>11</v>
      </c>
      <c r="J405" s="2" t="s">
        <v>93</v>
      </c>
      <c r="K405" s="2" t="s">
        <v>85</v>
      </c>
      <c r="L405" s="2" t="s">
        <v>86</v>
      </c>
      <c r="M405" s="2" t="s">
        <v>32</v>
      </c>
      <c r="N405" s="3">
        <v>0</v>
      </c>
      <c r="O405" s="2" t="s">
        <v>33</v>
      </c>
      <c r="P405" s="2" t="s">
        <v>530</v>
      </c>
      <c r="Q405" s="4">
        <v>43434</v>
      </c>
      <c r="R405" s="4">
        <v>43494</v>
      </c>
      <c r="S405" s="3">
        <v>-2582</v>
      </c>
      <c r="T405" s="5">
        <v>0</v>
      </c>
      <c r="U405" s="2" t="s">
        <v>20</v>
      </c>
      <c r="V405" s="5">
        <v>929390</v>
      </c>
      <c r="W405" s="5">
        <v>929390</v>
      </c>
      <c r="X405" s="5">
        <v>4300770.37</v>
      </c>
    </row>
    <row r="406" spans="1:24" outlineLevel="3">
      <c r="A406" s="2" t="s">
        <v>525</v>
      </c>
      <c r="B406" s="3">
        <v>900826583</v>
      </c>
      <c r="C406" s="3">
        <v>0</v>
      </c>
      <c r="D406" s="2" t="s">
        <v>526</v>
      </c>
      <c r="E406" s="2">
        <v>7022085</v>
      </c>
      <c r="F406" s="2" t="s">
        <v>527</v>
      </c>
      <c r="G406" s="2" t="s">
        <v>38</v>
      </c>
      <c r="H406" s="2" t="s">
        <v>28</v>
      </c>
      <c r="I406" s="2" t="s">
        <v>11</v>
      </c>
      <c r="J406" s="2" t="s">
        <v>93</v>
      </c>
      <c r="K406" s="2" t="s">
        <v>85</v>
      </c>
      <c r="L406" s="2" t="s">
        <v>86</v>
      </c>
      <c r="M406" s="2" t="s">
        <v>32</v>
      </c>
      <c r="N406" s="3">
        <v>0</v>
      </c>
      <c r="O406" s="2" t="s">
        <v>33</v>
      </c>
      <c r="P406" s="2" t="s">
        <v>531</v>
      </c>
      <c r="Q406" s="4">
        <v>43438</v>
      </c>
      <c r="R406" s="4">
        <v>43499</v>
      </c>
      <c r="S406" s="3">
        <v>-2578</v>
      </c>
      <c r="T406" s="5">
        <v>0</v>
      </c>
      <c r="U406" s="2" t="s">
        <v>20</v>
      </c>
      <c r="V406" s="5">
        <v>7757380.71</v>
      </c>
      <c r="W406" s="5">
        <v>7757380.71</v>
      </c>
      <c r="X406" s="5">
        <v>12058151.08</v>
      </c>
    </row>
    <row r="407" spans="1:24" outlineLevel="3">
      <c r="A407" s="2" t="s">
        <v>525</v>
      </c>
      <c r="B407" s="3">
        <v>900826583</v>
      </c>
      <c r="C407" s="3">
        <v>0</v>
      </c>
      <c r="D407" s="2" t="s">
        <v>526</v>
      </c>
      <c r="E407" s="2">
        <v>7022085</v>
      </c>
      <c r="F407" s="2" t="s">
        <v>527</v>
      </c>
      <c r="G407" s="2" t="s">
        <v>38</v>
      </c>
      <c r="H407" s="2" t="s">
        <v>28</v>
      </c>
      <c r="I407" s="2" t="s">
        <v>11</v>
      </c>
      <c r="J407" s="2" t="s">
        <v>93</v>
      </c>
      <c r="K407" s="2" t="s">
        <v>85</v>
      </c>
      <c r="L407" s="2" t="s">
        <v>86</v>
      </c>
      <c r="M407" s="2" t="s">
        <v>32</v>
      </c>
      <c r="N407" s="3">
        <v>0</v>
      </c>
      <c r="O407" s="2" t="s">
        <v>33</v>
      </c>
      <c r="P407" s="2" t="s">
        <v>532</v>
      </c>
      <c r="Q407" s="4">
        <v>43448</v>
      </c>
      <c r="R407" s="4">
        <v>43509</v>
      </c>
      <c r="S407" s="3">
        <v>-2568</v>
      </c>
      <c r="T407" s="5">
        <v>0</v>
      </c>
      <c r="U407" s="2" t="s">
        <v>20</v>
      </c>
      <c r="V407" s="5">
        <v>6418325.5199999996</v>
      </c>
      <c r="W407" s="5">
        <v>6418325.5199999996</v>
      </c>
      <c r="X407" s="5">
        <v>18476476.600000001</v>
      </c>
    </row>
    <row r="408" spans="1:24" outlineLevel="3">
      <c r="A408" s="2" t="s">
        <v>525</v>
      </c>
      <c r="B408" s="3">
        <v>900826583</v>
      </c>
      <c r="C408" s="3">
        <v>0</v>
      </c>
      <c r="D408" s="2" t="s">
        <v>526</v>
      </c>
      <c r="E408" s="2">
        <v>7022085</v>
      </c>
      <c r="F408" s="2" t="s">
        <v>527</v>
      </c>
      <c r="G408" s="2" t="s">
        <v>38</v>
      </c>
      <c r="H408" s="2" t="s">
        <v>28</v>
      </c>
      <c r="I408" s="2" t="s">
        <v>11</v>
      </c>
      <c r="J408" s="2" t="s">
        <v>93</v>
      </c>
      <c r="K408" s="2" t="s">
        <v>85</v>
      </c>
      <c r="L408" s="2" t="s">
        <v>86</v>
      </c>
      <c r="M408" s="2" t="s">
        <v>32</v>
      </c>
      <c r="N408" s="3">
        <v>0</v>
      </c>
      <c r="O408" s="2" t="s">
        <v>33</v>
      </c>
      <c r="P408" s="2" t="s">
        <v>533</v>
      </c>
      <c r="Q408" s="4">
        <v>43788</v>
      </c>
      <c r="R408" s="4">
        <v>43848</v>
      </c>
      <c r="S408" s="3">
        <v>-2233</v>
      </c>
      <c r="T408" s="5">
        <v>0</v>
      </c>
      <c r="U408" s="2" t="s">
        <v>20</v>
      </c>
      <c r="V408" s="5">
        <v>97253.74</v>
      </c>
      <c r="W408" s="5">
        <v>97253.74</v>
      </c>
      <c r="X408" s="5">
        <v>18573730.34</v>
      </c>
    </row>
    <row r="409" spans="1:24" outlineLevel="3">
      <c r="A409" s="2" t="s">
        <v>525</v>
      </c>
      <c r="B409" s="3">
        <v>900826583</v>
      </c>
      <c r="C409" s="3">
        <v>0</v>
      </c>
      <c r="D409" s="2" t="s">
        <v>526</v>
      </c>
      <c r="E409" s="2">
        <v>7022085</v>
      </c>
      <c r="F409" s="2" t="s">
        <v>527</v>
      </c>
      <c r="G409" s="2" t="s">
        <v>38</v>
      </c>
      <c r="H409" s="2" t="s">
        <v>28</v>
      </c>
      <c r="I409" s="2" t="s">
        <v>11</v>
      </c>
      <c r="J409" s="2" t="s">
        <v>93</v>
      </c>
      <c r="K409" s="2" t="s">
        <v>85</v>
      </c>
      <c r="L409" s="2" t="s">
        <v>86</v>
      </c>
      <c r="M409" s="2" t="s">
        <v>32</v>
      </c>
      <c r="N409" s="3">
        <v>0</v>
      </c>
      <c r="O409" s="2" t="s">
        <v>33</v>
      </c>
      <c r="P409" s="2" t="s">
        <v>534</v>
      </c>
      <c r="Q409" s="4">
        <v>43794</v>
      </c>
      <c r="R409" s="4">
        <v>43854</v>
      </c>
      <c r="S409" s="3">
        <v>-2227</v>
      </c>
      <c r="T409" s="5">
        <v>0</v>
      </c>
      <c r="U409" s="2" t="s">
        <v>20</v>
      </c>
      <c r="V409" s="5">
        <v>222054</v>
      </c>
      <c r="W409" s="5">
        <v>222054</v>
      </c>
      <c r="X409" s="5">
        <v>18795784.34</v>
      </c>
    </row>
    <row r="410" spans="1:24" outlineLevel="3">
      <c r="A410" s="2" t="s">
        <v>525</v>
      </c>
      <c r="B410" s="3">
        <v>900826583</v>
      </c>
      <c r="C410" s="3">
        <v>0</v>
      </c>
      <c r="D410" s="2" t="s">
        <v>526</v>
      </c>
      <c r="E410" s="2">
        <v>7022085</v>
      </c>
      <c r="F410" s="2" t="s">
        <v>527</v>
      </c>
      <c r="G410" s="2" t="s">
        <v>38</v>
      </c>
      <c r="H410" s="2" t="s">
        <v>28</v>
      </c>
      <c r="I410" s="2" t="s">
        <v>11</v>
      </c>
      <c r="J410" s="2" t="s">
        <v>93</v>
      </c>
      <c r="K410" s="2" t="s">
        <v>85</v>
      </c>
      <c r="L410" s="2" t="s">
        <v>86</v>
      </c>
      <c r="M410" s="2" t="s">
        <v>32</v>
      </c>
      <c r="N410" s="3">
        <v>0</v>
      </c>
      <c r="O410" s="2" t="s">
        <v>33</v>
      </c>
      <c r="P410" s="2" t="s">
        <v>535</v>
      </c>
      <c r="Q410" s="4">
        <v>43805</v>
      </c>
      <c r="R410" s="4">
        <v>43866</v>
      </c>
      <c r="S410" s="3">
        <v>-2216</v>
      </c>
      <c r="T410" s="5">
        <v>0</v>
      </c>
      <c r="U410" s="2" t="s">
        <v>20</v>
      </c>
      <c r="V410" s="5">
        <v>2494884.6</v>
      </c>
      <c r="W410" s="5">
        <v>2494884.6</v>
      </c>
      <c r="X410" s="5">
        <v>21290668.940000001</v>
      </c>
    </row>
    <row r="411" spans="1:24" outlineLevel="3">
      <c r="A411" s="2" t="s">
        <v>525</v>
      </c>
      <c r="B411" s="3">
        <v>900826583</v>
      </c>
      <c r="C411" s="3">
        <v>0</v>
      </c>
      <c r="D411" s="2" t="s">
        <v>526</v>
      </c>
      <c r="E411" s="2">
        <v>7022085</v>
      </c>
      <c r="F411" s="2" t="s">
        <v>527</v>
      </c>
      <c r="G411" s="2" t="s">
        <v>38</v>
      </c>
      <c r="H411" s="2" t="s">
        <v>28</v>
      </c>
      <c r="I411" s="2" t="s">
        <v>11</v>
      </c>
      <c r="J411" s="2" t="s">
        <v>93</v>
      </c>
      <c r="K411" s="2" t="s">
        <v>85</v>
      </c>
      <c r="L411" s="2" t="s">
        <v>86</v>
      </c>
      <c r="M411" s="2" t="s">
        <v>32</v>
      </c>
      <c r="N411" s="3">
        <v>0</v>
      </c>
      <c r="O411" s="2" t="s">
        <v>33</v>
      </c>
      <c r="P411" s="2" t="s">
        <v>536</v>
      </c>
      <c r="Q411" s="4">
        <v>43810</v>
      </c>
      <c r="R411" s="4">
        <v>43871</v>
      </c>
      <c r="S411" s="3">
        <v>-2211</v>
      </c>
      <c r="T411" s="5">
        <v>0</v>
      </c>
      <c r="U411" s="2" t="s">
        <v>20</v>
      </c>
      <c r="V411" s="5">
        <v>275264.84999999998</v>
      </c>
      <c r="W411" s="5">
        <v>275264.84999999998</v>
      </c>
      <c r="X411" s="5">
        <v>21565933.789999999</v>
      </c>
    </row>
    <row r="412" spans="1:24" outlineLevel="3">
      <c r="A412" s="2" t="s">
        <v>525</v>
      </c>
      <c r="B412" s="3">
        <v>900826583</v>
      </c>
      <c r="C412" s="3">
        <v>0</v>
      </c>
      <c r="D412" s="2" t="s">
        <v>526</v>
      </c>
      <c r="E412" s="2">
        <v>7022085</v>
      </c>
      <c r="F412" s="2" t="s">
        <v>527</v>
      </c>
      <c r="G412" s="2" t="s">
        <v>38</v>
      </c>
      <c r="H412" s="2" t="s">
        <v>28</v>
      </c>
      <c r="I412" s="2" t="s">
        <v>11</v>
      </c>
      <c r="J412" s="2" t="s">
        <v>93</v>
      </c>
      <c r="K412" s="2" t="s">
        <v>85</v>
      </c>
      <c r="L412" s="2" t="s">
        <v>86</v>
      </c>
      <c r="M412" s="2" t="s">
        <v>32</v>
      </c>
      <c r="N412" s="3">
        <v>0</v>
      </c>
      <c r="O412" s="2" t="s">
        <v>33</v>
      </c>
      <c r="P412" s="2" t="s">
        <v>537</v>
      </c>
      <c r="Q412" s="4">
        <v>43816</v>
      </c>
      <c r="R412" s="4">
        <v>43877</v>
      </c>
      <c r="S412" s="3">
        <v>-2205</v>
      </c>
      <c r="T412" s="5">
        <v>0</v>
      </c>
      <c r="U412" s="2" t="s">
        <v>20</v>
      </c>
      <c r="V412" s="5">
        <v>1319668.6599999999</v>
      </c>
      <c r="W412" s="5">
        <v>1319668.6599999999</v>
      </c>
      <c r="X412" s="5">
        <v>22885602.449999999</v>
      </c>
    </row>
    <row r="413" spans="1:24" outlineLevel="3">
      <c r="A413" s="2" t="s">
        <v>525</v>
      </c>
      <c r="B413" s="3">
        <v>900826583</v>
      </c>
      <c r="C413" s="3">
        <v>0</v>
      </c>
      <c r="D413" s="2" t="s">
        <v>526</v>
      </c>
      <c r="E413" s="2">
        <v>7022085</v>
      </c>
      <c r="F413" s="2" t="s">
        <v>527</v>
      </c>
      <c r="G413" s="2" t="s">
        <v>38</v>
      </c>
      <c r="H413" s="2" t="s">
        <v>28</v>
      </c>
      <c r="I413" s="2" t="s">
        <v>11</v>
      </c>
      <c r="J413" s="2" t="s">
        <v>93</v>
      </c>
      <c r="K413" s="2" t="s">
        <v>85</v>
      </c>
      <c r="L413" s="2" t="s">
        <v>86</v>
      </c>
      <c r="M413" s="2" t="s">
        <v>32</v>
      </c>
      <c r="N413" s="3">
        <v>0</v>
      </c>
      <c r="O413" s="2" t="s">
        <v>33</v>
      </c>
      <c r="P413" s="2" t="s">
        <v>538</v>
      </c>
      <c r="Q413" s="4">
        <v>43816</v>
      </c>
      <c r="R413" s="4">
        <v>43877</v>
      </c>
      <c r="S413" s="3">
        <v>-2205</v>
      </c>
      <c r="T413" s="5">
        <v>0</v>
      </c>
      <c r="U413" s="2" t="s">
        <v>20</v>
      </c>
      <c r="V413" s="5">
        <v>1584842</v>
      </c>
      <c r="W413" s="5">
        <v>1584842</v>
      </c>
      <c r="X413" s="5">
        <v>24470444.449999999</v>
      </c>
    </row>
    <row r="414" spans="1:24" outlineLevel="3">
      <c r="A414" s="2" t="s">
        <v>525</v>
      </c>
      <c r="B414" s="3">
        <v>900826583</v>
      </c>
      <c r="C414" s="3">
        <v>0</v>
      </c>
      <c r="D414" s="2" t="s">
        <v>526</v>
      </c>
      <c r="E414" s="2">
        <v>7022085</v>
      </c>
      <c r="F414" s="2" t="s">
        <v>527</v>
      </c>
      <c r="G414" s="2" t="s">
        <v>38</v>
      </c>
      <c r="H414" s="2" t="s">
        <v>28</v>
      </c>
      <c r="I414" s="2" t="s">
        <v>11</v>
      </c>
      <c r="J414" s="2" t="s">
        <v>93</v>
      </c>
      <c r="K414" s="2" t="s">
        <v>85</v>
      </c>
      <c r="L414" s="2" t="s">
        <v>86</v>
      </c>
      <c r="M414" s="2" t="s">
        <v>32</v>
      </c>
      <c r="N414" s="3">
        <v>0</v>
      </c>
      <c r="O414" s="2" t="s">
        <v>33</v>
      </c>
      <c r="P414" s="2" t="s">
        <v>539</v>
      </c>
      <c r="Q414" s="4">
        <v>43816</v>
      </c>
      <c r="R414" s="4">
        <v>43877</v>
      </c>
      <c r="S414" s="3">
        <v>-2205</v>
      </c>
      <c r="T414" s="5">
        <v>0</v>
      </c>
      <c r="U414" s="2" t="s">
        <v>20</v>
      </c>
      <c r="V414" s="5">
        <v>1633275</v>
      </c>
      <c r="W414" s="5">
        <v>1633275</v>
      </c>
      <c r="X414" s="5">
        <v>26103719.449999999</v>
      </c>
    </row>
    <row r="415" spans="1:24" outlineLevel="3">
      <c r="A415" s="2" t="s">
        <v>525</v>
      </c>
      <c r="B415" s="3">
        <v>900826583</v>
      </c>
      <c r="C415" s="3">
        <v>0</v>
      </c>
      <c r="D415" s="2" t="s">
        <v>526</v>
      </c>
      <c r="E415" s="2">
        <v>7022085</v>
      </c>
      <c r="F415" s="2" t="s">
        <v>527</v>
      </c>
      <c r="G415" s="2" t="s">
        <v>38</v>
      </c>
      <c r="H415" s="2" t="s">
        <v>28</v>
      </c>
      <c r="I415" s="2" t="s">
        <v>11</v>
      </c>
      <c r="J415" s="2" t="s">
        <v>59</v>
      </c>
      <c r="K415" s="2" t="s">
        <v>85</v>
      </c>
      <c r="L415" s="2" t="s">
        <v>86</v>
      </c>
      <c r="M415" s="2" t="s">
        <v>32</v>
      </c>
      <c r="N415" s="3">
        <v>0</v>
      </c>
      <c r="O415" s="2" t="s">
        <v>33</v>
      </c>
      <c r="P415" s="2" t="s">
        <v>540</v>
      </c>
      <c r="Q415" s="4">
        <v>43816</v>
      </c>
      <c r="R415" s="4">
        <v>43877</v>
      </c>
      <c r="S415" s="3">
        <v>-2205</v>
      </c>
      <c r="T415" s="5">
        <v>0</v>
      </c>
      <c r="U415" s="2" t="s">
        <v>20</v>
      </c>
      <c r="V415" s="5">
        <v>763782.84</v>
      </c>
      <c r="W415" s="5">
        <v>763782.84</v>
      </c>
      <c r="X415" s="5">
        <v>26867502.289999999</v>
      </c>
    </row>
    <row r="416" spans="1:24" outlineLevel="2">
      <c r="M416" s="14" t="s">
        <v>742</v>
      </c>
      <c r="T416" s="5">
        <f>SUBTOTAL(9,T403:T415)</f>
        <v>0</v>
      </c>
      <c r="V416" s="5">
        <f>SUBTOTAL(9,V403:V415)</f>
        <v>26867502.289999999</v>
      </c>
      <c r="W416" s="5">
        <f>SUBTOTAL(9,W403:W415)</f>
        <v>26867502.289999999</v>
      </c>
    </row>
    <row r="417" spans="1:24" outlineLevel="1">
      <c r="A417" s="14" t="s">
        <v>724</v>
      </c>
      <c r="T417" s="5">
        <f>SUBTOTAL(9,T403:T415)</f>
        <v>0</v>
      </c>
      <c r="V417" s="5">
        <f>SUBTOTAL(9,V403:V415)</f>
        <v>26867502.289999999</v>
      </c>
      <c r="W417" s="5">
        <f>SUBTOTAL(9,W403:W415)</f>
        <v>26867502.289999999</v>
      </c>
    </row>
    <row r="418" spans="1:24" outlineLevel="3">
      <c r="A418" s="2" t="s">
        <v>541</v>
      </c>
      <c r="B418" s="3">
        <v>900860484</v>
      </c>
      <c r="C418" s="3">
        <v>0</v>
      </c>
      <c r="D418" s="2" t="s">
        <v>542</v>
      </c>
      <c r="E418" s="2">
        <v>6026938560</v>
      </c>
      <c r="F418" s="2" t="s">
        <v>543</v>
      </c>
      <c r="G418" s="2" t="s">
        <v>544</v>
      </c>
      <c r="H418" s="2" t="s">
        <v>28</v>
      </c>
      <c r="I418" s="2" t="s">
        <v>11</v>
      </c>
      <c r="J418" s="2" t="s">
        <v>141</v>
      </c>
      <c r="K418" s="2" t="s">
        <v>545</v>
      </c>
      <c r="L418" s="2" t="s">
        <v>546</v>
      </c>
      <c r="M418" s="2" t="s">
        <v>32</v>
      </c>
      <c r="N418" s="3">
        <v>0</v>
      </c>
      <c r="O418" s="2" t="s">
        <v>33</v>
      </c>
      <c r="P418" s="2" t="s">
        <v>547</v>
      </c>
      <c r="Q418" s="4">
        <v>46050</v>
      </c>
      <c r="R418" s="4">
        <v>46108</v>
      </c>
      <c r="S418" s="3">
        <v>-4</v>
      </c>
      <c r="T418" s="5">
        <v>0</v>
      </c>
      <c r="U418" s="2" t="s">
        <v>20</v>
      </c>
      <c r="V418" s="5">
        <v>17023047.550000001</v>
      </c>
      <c r="W418" s="5">
        <v>17023047.550000001</v>
      </c>
      <c r="X418" s="5">
        <v>17023047.550000001</v>
      </c>
    </row>
    <row r="419" spans="1:24" outlineLevel="3">
      <c r="A419" s="2" t="s">
        <v>541</v>
      </c>
      <c r="B419" s="3">
        <v>900860484</v>
      </c>
      <c r="C419" s="3">
        <v>0</v>
      </c>
      <c r="D419" s="2" t="s">
        <v>542</v>
      </c>
      <c r="E419" s="2">
        <v>6026938560</v>
      </c>
      <c r="F419" s="2" t="s">
        <v>543</v>
      </c>
      <c r="G419" s="2" t="s">
        <v>544</v>
      </c>
      <c r="H419" s="2" t="s">
        <v>28</v>
      </c>
      <c r="I419" s="2" t="s">
        <v>11</v>
      </c>
      <c r="J419" s="2" t="s">
        <v>141</v>
      </c>
      <c r="K419" s="2" t="s">
        <v>545</v>
      </c>
      <c r="L419" s="2" t="s">
        <v>546</v>
      </c>
      <c r="M419" s="2" t="s">
        <v>32</v>
      </c>
      <c r="N419" s="3">
        <v>0</v>
      </c>
      <c r="O419" s="2" t="s">
        <v>33</v>
      </c>
      <c r="P419" s="2" t="s">
        <v>548</v>
      </c>
      <c r="Q419" s="4">
        <v>46051</v>
      </c>
      <c r="R419" s="4">
        <v>46109</v>
      </c>
      <c r="S419" s="3">
        <v>-3</v>
      </c>
      <c r="T419" s="5">
        <v>0</v>
      </c>
      <c r="U419" s="2" t="s">
        <v>20</v>
      </c>
      <c r="V419" s="5">
        <v>2581043.52</v>
      </c>
      <c r="W419" s="5">
        <v>2581043.52</v>
      </c>
      <c r="X419" s="5">
        <v>19604091.07</v>
      </c>
    </row>
    <row r="420" spans="1:24" outlineLevel="3">
      <c r="A420" s="2" t="s">
        <v>541</v>
      </c>
      <c r="B420" s="3">
        <v>900860484</v>
      </c>
      <c r="C420" s="3">
        <v>0</v>
      </c>
      <c r="D420" s="2" t="s">
        <v>542</v>
      </c>
      <c r="E420" s="2">
        <v>6026938560</v>
      </c>
      <c r="F420" s="2" t="s">
        <v>543</v>
      </c>
      <c r="G420" s="2" t="s">
        <v>544</v>
      </c>
      <c r="H420" s="2" t="s">
        <v>28</v>
      </c>
      <c r="I420" s="2" t="s">
        <v>11</v>
      </c>
      <c r="J420" s="2" t="s">
        <v>59</v>
      </c>
      <c r="K420" s="2" t="s">
        <v>545</v>
      </c>
      <c r="L420" s="2" t="s">
        <v>546</v>
      </c>
      <c r="M420" s="2" t="s">
        <v>32</v>
      </c>
      <c r="N420" s="3">
        <v>0</v>
      </c>
      <c r="O420" s="2" t="s">
        <v>33</v>
      </c>
      <c r="P420" s="2" t="s">
        <v>549</v>
      </c>
      <c r="Q420" s="4">
        <v>46056</v>
      </c>
      <c r="R420" s="4">
        <v>46114</v>
      </c>
      <c r="S420" s="3">
        <v>1</v>
      </c>
      <c r="T420" s="5">
        <v>0</v>
      </c>
      <c r="U420" s="2" t="s">
        <v>58</v>
      </c>
      <c r="V420" s="5">
        <v>15277625.92</v>
      </c>
      <c r="W420" s="5">
        <v>0</v>
      </c>
      <c r="X420" s="5">
        <v>19604091.07</v>
      </c>
    </row>
    <row r="421" spans="1:24" outlineLevel="3">
      <c r="A421" s="2" t="s">
        <v>541</v>
      </c>
      <c r="B421" s="3">
        <v>900860484</v>
      </c>
      <c r="C421" s="3">
        <v>0</v>
      </c>
      <c r="D421" s="2" t="s">
        <v>542</v>
      </c>
      <c r="E421" s="2">
        <v>6026938560</v>
      </c>
      <c r="F421" s="2" t="s">
        <v>543</v>
      </c>
      <c r="G421" s="2" t="s">
        <v>544</v>
      </c>
      <c r="H421" s="2" t="s">
        <v>28</v>
      </c>
      <c r="I421" s="2" t="s">
        <v>11</v>
      </c>
      <c r="J421" s="2" t="s">
        <v>141</v>
      </c>
      <c r="K421" s="2" t="s">
        <v>545</v>
      </c>
      <c r="L421" s="2" t="s">
        <v>546</v>
      </c>
      <c r="M421" s="2" t="s">
        <v>32</v>
      </c>
      <c r="N421" s="3">
        <v>0</v>
      </c>
      <c r="O421" s="2" t="s">
        <v>33</v>
      </c>
      <c r="P421" s="2" t="s">
        <v>550</v>
      </c>
      <c r="Q421" s="4">
        <v>46058</v>
      </c>
      <c r="R421" s="4">
        <v>46116</v>
      </c>
      <c r="S421" s="3">
        <v>3</v>
      </c>
      <c r="T421" s="5">
        <v>0</v>
      </c>
      <c r="U421" s="2" t="s">
        <v>58</v>
      </c>
      <c r="V421" s="5">
        <v>634400.75</v>
      </c>
      <c r="W421" s="5">
        <v>0</v>
      </c>
      <c r="X421" s="5">
        <v>19604091.07</v>
      </c>
    </row>
    <row r="422" spans="1:24" outlineLevel="3">
      <c r="A422" s="2" t="s">
        <v>541</v>
      </c>
      <c r="B422" s="3">
        <v>900860484</v>
      </c>
      <c r="C422" s="3">
        <v>0</v>
      </c>
      <c r="D422" s="2" t="s">
        <v>542</v>
      </c>
      <c r="E422" s="2">
        <v>6026938560</v>
      </c>
      <c r="F422" s="2" t="s">
        <v>543</v>
      </c>
      <c r="G422" s="2" t="s">
        <v>544</v>
      </c>
      <c r="H422" s="2" t="s">
        <v>28</v>
      </c>
      <c r="I422" s="2" t="s">
        <v>11</v>
      </c>
      <c r="J422" s="2" t="s">
        <v>141</v>
      </c>
      <c r="K422" s="2" t="s">
        <v>545</v>
      </c>
      <c r="L422" s="2" t="s">
        <v>546</v>
      </c>
      <c r="M422" s="2" t="s">
        <v>32</v>
      </c>
      <c r="N422" s="3">
        <v>0</v>
      </c>
      <c r="O422" s="2" t="s">
        <v>33</v>
      </c>
      <c r="P422" s="2" t="s">
        <v>551</v>
      </c>
      <c r="Q422" s="4">
        <v>46062</v>
      </c>
      <c r="R422" s="4">
        <v>46120</v>
      </c>
      <c r="S422" s="3">
        <v>7</v>
      </c>
      <c r="T422" s="5">
        <v>0</v>
      </c>
      <c r="U422" s="2" t="s">
        <v>58</v>
      </c>
      <c r="V422" s="5">
        <v>8748538.3499999996</v>
      </c>
      <c r="W422" s="5">
        <v>0</v>
      </c>
      <c r="X422" s="5">
        <v>19604091.07</v>
      </c>
    </row>
    <row r="423" spans="1:24" outlineLevel="3">
      <c r="A423" s="2" t="s">
        <v>541</v>
      </c>
      <c r="B423" s="3">
        <v>900860484</v>
      </c>
      <c r="C423" s="3">
        <v>0</v>
      </c>
      <c r="D423" s="2" t="s">
        <v>542</v>
      </c>
      <c r="E423" s="2">
        <v>6026938560</v>
      </c>
      <c r="F423" s="2" t="s">
        <v>543</v>
      </c>
      <c r="G423" s="2" t="s">
        <v>544</v>
      </c>
      <c r="H423" s="2" t="s">
        <v>28</v>
      </c>
      <c r="I423" s="2" t="s">
        <v>11</v>
      </c>
      <c r="J423" s="2" t="s">
        <v>141</v>
      </c>
      <c r="K423" s="2" t="s">
        <v>545</v>
      </c>
      <c r="L423" s="2" t="s">
        <v>546</v>
      </c>
      <c r="M423" s="2" t="s">
        <v>32</v>
      </c>
      <c r="N423" s="3">
        <v>0</v>
      </c>
      <c r="O423" s="2" t="s">
        <v>33</v>
      </c>
      <c r="P423" s="2" t="s">
        <v>552</v>
      </c>
      <c r="Q423" s="4">
        <v>46065</v>
      </c>
      <c r="R423" s="4">
        <v>46123</v>
      </c>
      <c r="S423" s="3">
        <v>10</v>
      </c>
      <c r="T423" s="5">
        <v>0</v>
      </c>
      <c r="U423" s="2" t="s">
        <v>58</v>
      </c>
      <c r="V423" s="5">
        <v>2454200.64</v>
      </c>
      <c r="W423" s="5">
        <v>0</v>
      </c>
      <c r="X423" s="5">
        <v>19604091.07</v>
      </c>
    </row>
    <row r="424" spans="1:24" outlineLevel="3">
      <c r="A424" s="2" t="s">
        <v>541</v>
      </c>
      <c r="B424" s="3">
        <v>900860484</v>
      </c>
      <c r="C424" s="3">
        <v>0</v>
      </c>
      <c r="D424" s="2" t="s">
        <v>542</v>
      </c>
      <c r="E424" s="2">
        <v>6026938560</v>
      </c>
      <c r="F424" s="2" t="s">
        <v>543</v>
      </c>
      <c r="G424" s="2" t="s">
        <v>544</v>
      </c>
      <c r="H424" s="2" t="s">
        <v>28</v>
      </c>
      <c r="I424" s="2" t="s">
        <v>11</v>
      </c>
      <c r="J424" s="2" t="s">
        <v>141</v>
      </c>
      <c r="K424" s="2" t="s">
        <v>545</v>
      </c>
      <c r="L424" s="2" t="s">
        <v>546</v>
      </c>
      <c r="M424" s="2" t="s">
        <v>32</v>
      </c>
      <c r="N424" s="3">
        <v>0</v>
      </c>
      <c r="O424" s="2" t="s">
        <v>33</v>
      </c>
      <c r="P424" s="2" t="s">
        <v>553</v>
      </c>
      <c r="Q424" s="4">
        <v>46070</v>
      </c>
      <c r="R424" s="4">
        <v>46128</v>
      </c>
      <c r="S424" s="3">
        <v>15</v>
      </c>
      <c r="T424" s="5">
        <v>0</v>
      </c>
      <c r="U424" s="2" t="s">
        <v>58</v>
      </c>
      <c r="V424" s="5">
        <v>3683119.52</v>
      </c>
      <c r="W424" s="5">
        <v>0</v>
      </c>
      <c r="X424" s="5">
        <v>19604091.07</v>
      </c>
    </row>
    <row r="425" spans="1:24" outlineLevel="3">
      <c r="A425" s="2" t="s">
        <v>541</v>
      </c>
      <c r="B425" s="3">
        <v>900860484</v>
      </c>
      <c r="C425" s="3">
        <v>0</v>
      </c>
      <c r="D425" s="2" t="s">
        <v>542</v>
      </c>
      <c r="E425" s="2">
        <v>6026938560</v>
      </c>
      <c r="F425" s="2" t="s">
        <v>543</v>
      </c>
      <c r="G425" s="2" t="s">
        <v>544</v>
      </c>
      <c r="H425" s="2" t="s">
        <v>28</v>
      </c>
      <c r="I425" s="2" t="s">
        <v>11</v>
      </c>
      <c r="J425" s="2" t="s">
        <v>141</v>
      </c>
      <c r="K425" s="2" t="s">
        <v>545</v>
      </c>
      <c r="L425" s="2" t="s">
        <v>546</v>
      </c>
      <c r="M425" s="2" t="s">
        <v>32</v>
      </c>
      <c r="N425" s="3">
        <v>0</v>
      </c>
      <c r="O425" s="2" t="s">
        <v>33</v>
      </c>
      <c r="P425" s="2" t="s">
        <v>554</v>
      </c>
      <c r="Q425" s="4">
        <v>46072</v>
      </c>
      <c r="R425" s="4">
        <v>46130</v>
      </c>
      <c r="S425" s="3">
        <v>17</v>
      </c>
      <c r="T425" s="5">
        <v>0</v>
      </c>
      <c r="U425" s="2" t="s">
        <v>58</v>
      </c>
      <c r="V425" s="5">
        <v>10794845.73</v>
      </c>
      <c r="W425" s="5">
        <v>0</v>
      </c>
      <c r="X425" s="5">
        <v>19604091.07</v>
      </c>
    </row>
    <row r="426" spans="1:24" outlineLevel="3">
      <c r="A426" s="2" t="s">
        <v>541</v>
      </c>
      <c r="B426" s="3">
        <v>900860484</v>
      </c>
      <c r="C426" s="3">
        <v>0</v>
      </c>
      <c r="D426" s="2" t="s">
        <v>542</v>
      </c>
      <c r="E426" s="2">
        <v>6026938560</v>
      </c>
      <c r="F426" s="2" t="s">
        <v>543</v>
      </c>
      <c r="G426" s="2" t="s">
        <v>544</v>
      </c>
      <c r="H426" s="2" t="s">
        <v>28</v>
      </c>
      <c r="I426" s="2" t="s">
        <v>11</v>
      </c>
      <c r="J426" s="2" t="s">
        <v>141</v>
      </c>
      <c r="K426" s="2" t="s">
        <v>545</v>
      </c>
      <c r="L426" s="2" t="s">
        <v>546</v>
      </c>
      <c r="M426" s="2" t="s">
        <v>32</v>
      </c>
      <c r="N426" s="3">
        <v>0</v>
      </c>
      <c r="O426" s="2" t="s">
        <v>33</v>
      </c>
      <c r="P426" s="2" t="s">
        <v>555</v>
      </c>
      <c r="Q426" s="4">
        <v>46076</v>
      </c>
      <c r="R426" s="4">
        <v>46134</v>
      </c>
      <c r="S426" s="3">
        <v>21</v>
      </c>
      <c r="T426" s="5">
        <v>0</v>
      </c>
      <c r="U426" s="2" t="s">
        <v>58</v>
      </c>
      <c r="V426" s="5">
        <v>14899733.699999999</v>
      </c>
      <c r="W426" s="5">
        <v>0</v>
      </c>
      <c r="X426" s="5">
        <v>19604091.07</v>
      </c>
    </row>
    <row r="427" spans="1:24" outlineLevel="3">
      <c r="A427" s="2" t="s">
        <v>541</v>
      </c>
      <c r="B427" s="3">
        <v>900860484</v>
      </c>
      <c r="C427" s="3">
        <v>0</v>
      </c>
      <c r="D427" s="2" t="s">
        <v>542</v>
      </c>
      <c r="E427" s="2">
        <v>6026938560</v>
      </c>
      <c r="F427" s="2" t="s">
        <v>543</v>
      </c>
      <c r="G427" s="2" t="s">
        <v>544</v>
      </c>
      <c r="H427" s="2" t="s">
        <v>28</v>
      </c>
      <c r="I427" s="2" t="s">
        <v>11</v>
      </c>
      <c r="J427" s="2" t="s">
        <v>141</v>
      </c>
      <c r="K427" s="2" t="s">
        <v>545</v>
      </c>
      <c r="L427" s="2" t="s">
        <v>546</v>
      </c>
      <c r="M427" s="2" t="s">
        <v>32</v>
      </c>
      <c r="N427" s="3">
        <v>0</v>
      </c>
      <c r="O427" s="2" t="s">
        <v>33</v>
      </c>
      <c r="P427" s="2" t="s">
        <v>556</v>
      </c>
      <c r="Q427" s="4">
        <v>46079</v>
      </c>
      <c r="R427" s="4">
        <v>46137</v>
      </c>
      <c r="S427" s="3">
        <v>24</v>
      </c>
      <c r="T427" s="5">
        <v>0</v>
      </c>
      <c r="U427" s="2" t="s">
        <v>58</v>
      </c>
      <c r="V427" s="5">
        <v>2299012.15</v>
      </c>
      <c r="W427" s="5">
        <v>0</v>
      </c>
      <c r="X427" s="5">
        <v>19604091.07</v>
      </c>
    </row>
    <row r="428" spans="1:24" outlineLevel="3">
      <c r="A428" s="2" t="s">
        <v>541</v>
      </c>
      <c r="B428" s="3">
        <v>900860484</v>
      </c>
      <c r="C428" s="3">
        <v>0</v>
      </c>
      <c r="D428" s="2" t="s">
        <v>542</v>
      </c>
      <c r="E428" s="2">
        <v>6026938560</v>
      </c>
      <c r="F428" s="2" t="s">
        <v>543</v>
      </c>
      <c r="G428" s="2" t="s">
        <v>544</v>
      </c>
      <c r="H428" s="2" t="s">
        <v>28</v>
      </c>
      <c r="I428" s="2" t="s">
        <v>11</v>
      </c>
      <c r="J428" s="2" t="s">
        <v>141</v>
      </c>
      <c r="K428" s="2" t="s">
        <v>545</v>
      </c>
      <c r="L428" s="2" t="s">
        <v>546</v>
      </c>
      <c r="M428" s="2" t="s">
        <v>32</v>
      </c>
      <c r="N428" s="3">
        <v>0</v>
      </c>
      <c r="O428" s="2" t="s">
        <v>33</v>
      </c>
      <c r="P428" s="2" t="s">
        <v>557</v>
      </c>
      <c r="Q428" s="4">
        <v>46084</v>
      </c>
      <c r="R428" s="4">
        <v>46144</v>
      </c>
      <c r="S428" s="3">
        <v>31</v>
      </c>
      <c r="T428" s="5">
        <v>0</v>
      </c>
      <c r="U428" s="2" t="s">
        <v>58</v>
      </c>
      <c r="V428" s="5">
        <v>4602629.57</v>
      </c>
      <c r="W428" s="5">
        <v>0</v>
      </c>
      <c r="X428" s="5">
        <v>19604091.07</v>
      </c>
    </row>
    <row r="429" spans="1:24" outlineLevel="3">
      <c r="A429" s="2" t="s">
        <v>541</v>
      </c>
      <c r="B429" s="3">
        <v>900860484</v>
      </c>
      <c r="C429" s="3">
        <v>0</v>
      </c>
      <c r="D429" s="2" t="s">
        <v>542</v>
      </c>
      <c r="E429" s="2">
        <v>6026938560</v>
      </c>
      <c r="F429" s="2" t="s">
        <v>543</v>
      </c>
      <c r="G429" s="2" t="s">
        <v>544</v>
      </c>
      <c r="H429" s="2" t="s">
        <v>28</v>
      </c>
      <c r="I429" s="2" t="s">
        <v>11</v>
      </c>
      <c r="J429" s="2" t="s">
        <v>141</v>
      </c>
      <c r="K429" s="2" t="s">
        <v>545</v>
      </c>
      <c r="L429" s="2" t="s">
        <v>546</v>
      </c>
      <c r="M429" s="2" t="s">
        <v>32</v>
      </c>
      <c r="N429" s="3">
        <v>0</v>
      </c>
      <c r="O429" s="2" t="s">
        <v>33</v>
      </c>
      <c r="P429" s="2" t="s">
        <v>558</v>
      </c>
      <c r="Q429" s="4">
        <v>46091</v>
      </c>
      <c r="R429" s="4">
        <v>46151</v>
      </c>
      <c r="S429" s="3">
        <v>38</v>
      </c>
      <c r="T429" s="5">
        <v>0</v>
      </c>
      <c r="U429" s="2" t="s">
        <v>58</v>
      </c>
      <c r="V429" s="5">
        <v>17411684.579999998</v>
      </c>
      <c r="W429" s="5">
        <v>0</v>
      </c>
      <c r="X429" s="5">
        <v>19604091.07</v>
      </c>
    </row>
    <row r="430" spans="1:24" outlineLevel="3">
      <c r="A430" s="2" t="s">
        <v>541</v>
      </c>
      <c r="B430" s="3">
        <v>900860484</v>
      </c>
      <c r="C430" s="3">
        <v>0</v>
      </c>
      <c r="D430" s="2" t="s">
        <v>542</v>
      </c>
      <c r="E430" s="2">
        <v>6026938560</v>
      </c>
      <c r="F430" s="2" t="s">
        <v>543</v>
      </c>
      <c r="G430" s="2" t="s">
        <v>544</v>
      </c>
      <c r="H430" s="2" t="s">
        <v>28</v>
      </c>
      <c r="I430" s="2" t="s">
        <v>11</v>
      </c>
      <c r="J430" s="2" t="s">
        <v>141</v>
      </c>
      <c r="K430" s="2" t="s">
        <v>545</v>
      </c>
      <c r="L430" s="2" t="s">
        <v>546</v>
      </c>
      <c r="M430" s="2" t="s">
        <v>32</v>
      </c>
      <c r="N430" s="3">
        <v>0</v>
      </c>
      <c r="O430" s="2" t="s">
        <v>33</v>
      </c>
      <c r="P430" s="2" t="s">
        <v>559</v>
      </c>
      <c r="Q430" s="4">
        <v>46093</v>
      </c>
      <c r="R430" s="4">
        <v>46153</v>
      </c>
      <c r="S430" s="3">
        <v>40</v>
      </c>
      <c r="T430" s="5">
        <v>0</v>
      </c>
      <c r="U430" s="2" t="s">
        <v>58</v>
      </c>
      <c r="V430" s="5">
        <v>8162323.1900000004</v>
      </c>
      <c r="W430" s="5">
        <v>0</v>
      </c>
      <c r="X430" s="5">
        <v>19604091.07</v>
      </c>
    </row>
    <row r="431" spans="1:24" outlineLevel="3">
      <c r="A431" s="2" t="s">
        <v>541</v>
      </c>
      <c r="B431" s="3">
        <v>900860484</v>
      </c>
      <c r="C431" s="3">
        <v>0</v>
      </c>
      <c r="D431" s="2" t="s">
        <v>542</v>
      </c>
      <c r="E431" s="2">
        <v>6026938560</v>
      </c>
      <c r="F431" s="2" t="s">
        <v>543</v>
      </c>
      <c r="G431" s="2" t="s">
        <v>544</v>
      </c>
      <c r="H431" s="2" t="s">
        <v>28</v>
      </c>
      <c r="I431" s="2" t="s">
        <v>11</v>
      </c>
      <c r="J431" s="2" t="s">
        <v>141</v>
      </c>
      <c r="K431" s="2" t="s">
        <v>545</v>
      </c>
      <c r="L431" s="2" t="s">
        <v>546</v>
      </c>
      <c r="M431" s="2" t="s">
        <v>32</v>
      </c>
      <c r="N431" s="3">
        <v>0</v>
      </c>
      <c r="O431" s="2" t="s">
        <v>33</v>
      </c>
      <c r="P431" s="2" t="s">
        <v>560</v>
      </c>
      <c r="Q431" s="4">
        <v>46099</v>
      </c>
      <c r="R431" s="4">
        <v>46159</v>
      </c>
      <c r="S431" s="3">
        <v>46</v>
      </c>
      <c r="T431" s="5">
        <v>0</v>
      </c>
      <c r="U431" s="2" t="s">
        <v>58</v>
      </c>
      <c r="V431" s="5">
        <v>4939849.26</v>
      </c>
      <c r="W431" s="5">
        <v>0</v>
      </c>
      <c r="X431" s="5">
        <v>19604091.07</v>
      </c>
    </row>
    <row r="432" spans="1:24" outlineLevel="3">
      <c r="A432" s="2" t="s">
        <v>541</v>
      </c>
      <c r="B432" s="3">
        <v>900860484</v>
      </c>
      <c r="C432" s="3">
        <v>0</v>
      </c>
      <c r="D432" s="2" t="s">
        <v>542</v>
      </c>
      <c r="E432" s="2">
        <v>6026938560</v>
      </c>
      <c r="F432" s="2" t="s">
        <v>543</v>
      </c>
      <c r="G432" s="2" t="s">
        <v>544</v>
      </c>
      <c r="H432" s="2" t="s">
        <v>28</v>
      </c>
      <c r="I432" s="2" t="s">
        <v>11</v>
      </c>
      <c r="J432" s="2" t="s">
        <v>141</v>
      </c>
      <c r="K432" s="2" t="s">
        <v>545</v>
      </c>
      <c r="L432" s="2" t="s">
        <v>546</v>
      </c>
      <c r="M432" s="2" t="s">
        <v>32</v>
      </c>
      <c r="N432" s="3">
        <v>0</v>
      </c>
      <c r="O432" s="2" t="s">
        <v>33</v>
      </c>
      <c r="P432" s="2" t="s">
        <v>561</v>
      </c>
      <c r="Q432" s="4">
        <v>46105</v>
      </c>
      <c r="R432" s="4">
        <v>46165</v>
      </c>
      <c r="S432" s="3">
        <v>52</v>
      </c>
      <c r="T432" s="5">
        <v>0</v>
      </c>
      <c r="U432" s="2" t="s">
        <v>58</v>
      </c>
      <c r="V432" s="5">
        <v>10107863.859999999</v>
      </c>
      <c r="W432" s="5">
        <v>0</v>
      </c>
      <c r="X432" s="5">
        <v>19604091.07</v>
      </c>
    </row>
    <row r="433" spans="1:24" outlineLevel="3">
      <c r="A433" s="2" t="s">
        <v>541</v>
      </c>
      <c r="B433" s="3">
        <v>900860484</v>
      </c>
      <c r="C433" s="3">
        <v>0</v>
      </c>
      <c r="D433" s="2" t="s">
        <v>542</v>
      </c>
      <c r="E433" s="2">
        <v>6026938560</v>
      </c>
      <c r="F433" s="2" t="s">
        <v>543</v>
      </c>
      <c r="G433" s="2" t="s">
        <v>544</v>
      </c>
      <c r="H433" s="2" t="s">
        <v>28</v>
      </c>
      <c r="I433" s="2" t="s">
        <v>11</v>
      </c>
      <c r="J433" s="2" t="s">
        <v>141</v>
      </c>
      <c r="K433" s="2" t="s">
        <v>545</v>
      </c>
      <c r="L433" s="2" t="s">
        <v>546</v>
      </c>
      <c r="M433" s="2" t="s">
        <v>32</v>
      </c>
      <c r="N433" s="3">
        <v>0</v>
      </c>
      <c r="O433" s="2" t="s">
        <v>33</v>
      </c>
      <c r="P433" s="2" t="s">
        <v>562</v>
      </c>
      <c r="Q433" s="4">
        <v>46107</v>
      </c>
      <c r="R433" s="4">
        <v>46167</v>
      </c>
      <c r="S433" s="3">
        <v>54</v>
      </c>
      <c r="T433" s="5">
        <v>0</v>
      </c>
      <c r="U433" s="2" t="s">
        <v>58</v>
      </c>
      <c r="V433" s="5">
        <v>4317481.84</v>
      </c>
      <c r="W433" s="5">
        <v>0</v>
      </c>
      <c r="X433" s="5">
        <v>19604091.07</v>
      </c>
    </row>
    <row r="434" spans="1:24" outlineLevel="2">
      <c r="M434" s="14" t="s">
        <v>742</v>
      </c>
      <c r="T434" s="5">
        <f>SUBTOTAL(9,T418:T433)</f>
        <v>0</v>
      </c>
      <c r="V434" s="5">
        <f>SUBTOTAL(9,V418:V433)</f>
        <v>127937400.13000001</v>
      </c>
      <c r="W434" s="5">
        <f>SUBTOTAL(9,W418:W433)</f>
        <v>19604091.07</v>
      </c>
    </row>
    <row r="435" spans="1:24" outlineLevel="1">
      <c r="A435" s="14" t="s">
        <v>725</v>
      </c>
      <c r="T435" s="5">
        <f>SUBTOTAL(9,T418:T433)</f>
        <v>0</v>
      </c>
      <c r="V435" s="5">
        <f>SUBTOTAL(9,V418:V433)</f>
        <v>127937400.13000001</v>
      </c>
      <c r="W435" s="5">
        <f>SUBTOTAL(9,W418:W433)</f>
        <v>19604091.07</v>
      </c>
    </row>
    <row r="436" spans="1:24" outlineLevel="3">
      <c r="A436" s="2" t="s">
        <v>563</v>
      </c>
      <c r="B436" s="3">
        <v>900866513</v>
      </c>
      <c r="C436" s="3">
        <v>0</v>
      </c>
      <c r="D436" s="2" t="s">
        <v>564</v>
      </c>
      <c r="E436" s="2">
        <v>2660838</v>
      </c>
      <c r="F436" s="2" t="s">
        <v>565</v>
      </c>
      <c r="G436" s="2" t="s">
        <v>38</v>
      </c>
      <c r="H436" s="2" t="s">
        <v>28</v>
      </c>
      <c r="I436" s="2" t="s">
        <v>11</v>
      </c>
      <c r="J436" s="2" t="s">
        <v>29</v>
      </c>
      <c r="K436" s="2" t="s">
        <v>269</v>
      </c>
      <c r="L436" s="2" t="s">
        <v>270</v>
      </c>
      <c r="M436" s="2" t="s">
        <v>32</v>
      </c>
      <c r="N436" s="3">
        <v>0</v>
      </c>
      <c r="O436" s="2" t="s">
        <v>33</v>
      </c>
      <c r="P436" s="2" t="s">
        <v>566</v>
      </c>
      <c r="Q436" s="4">
        <v>44439</v>
      </c>
      <c r="R436" s="4">
        <v>44498</v>
      </c>
      <c r="S436" s="3">
        <v>-1592</v>
      </c>
      <c r="T436" s="5">
        <v>0</v>
      </c>
      <c r="U436" s="2" t="s">
        <v>20</v>
      </c>
      <c r="V436" s="5">
        <v>658023.59</v>
      </c>
      <c r="W436" s="5">
        <v>658023.59</v>
      </c>
      <c r="X436" s="5">
        <v>658023.59</v>
      </c>
    </row>
    <row r="437" spans="1:24" outlineLevel="3">
      <c r="A437" s="2" t="s">
        <v>563</v>
      </c>
      <c r="B437" s="3">
        <v>900866513</v>
      </c>
      <c r="C437" s="3">
        <v>0</v>
      </c>
      <c r="D437" s="2" t="s">
        <v>564</v>
      </c>
      <c r="E437" s="2">
        <v>2660838</v>
      </c>
      <c r="F437" s="2" t="s">
        <v>565</v>
      </c>
      <c r="G437" s="2" t="s">
        <v>38</v>
      </c>
      <c r="H437" s="2" t="s">
        <v>28</v>
      </c>
      <c r="I437" s="2" t="s">
        <v>11</v>
      </c>
      <c r="J437" s="2" t="s">
        <v>29</v>
      </c>
      <c r="K437" s="2" t="s">
        <v>269</v>
      </c>
      <c r="L437" s="2" t="s">
        <v>270</v>
      </c>
      <c r="M437" s="2" t="s">
        <v>32</v>
      </c>
      <c r="N437" s="3">
        <v>0</v>
      </c>
      <c r="O437" s="2" t="s">
        <v>33</v>
      </c>
      <c r="P437" s="2" t="s">
        <v>567</v>
      </c>
      <c r="Q437" s="4">
        <v>44445</v>
      </c>
      <c r="R437" s="4">
        <v>44505</v>
      </c>
      <c r="S437" s="3">
        <v>-1586</v>
      </c>
      <c r="T437" s="5">
        <v>0</v>
      </c>
      <c r="U437" s="2" t="s">
        <v>20</v>
      </c>
      <c r="V437" s="5">
        <v>147469.56</v>
      </c>
      <c r="W437" s="5">
        <v>147469.56</v>
      </c>
      <c r="X437" s="5">
        <v>805493.15</v>
      </c>
    </row>
    <row r="438" spans="1:24" outlineLevel="3">
      <c r="A438" s="2" t="s">
        <v>563</v>
      </c>
      <c r="B438" s="3">
        <v>900866513</v>
      </c>
      <c r="C438" s="3">
        <v>0</v>
      </c>
      <c r="D438" s="2" t="s">
        <v>564</v>
      </c>
      <c r="E438" s="2">
        <v>2660838</v>
      </c>
      <c r="F438" s="2" t="s">
        <v>565</v>
      </c>
      <c r="G438" s="2" t="s">
        <v>38</v>
      </c>
      <c r="H438" s="2" t="s">
        <v>28</v>
      </c>
      <c r="I438" s="2" t="s">
        <v>11</v>
      </c>
      <c r="J438" s="2" t="s">
        <v>29</v>
      </c>
      <c r="K438" s="2" t="s">
        <v>269</v>
      </c>
      <c r="L438" s="2" t="s">
        <v>270</v>
      </c>
      <c r="M438" s="2" t="s">
        <v>32</v>
      </c>
      <c r="N438" s="3">
        <v>0</v>
      </c>
      <c r="O438" s="2" t="s">
        <v>33</v>
      </c>
      <c r="P438" s="2" t="s">
        <v>568</v>
      </c>
      <c r="Q438" s="4">
        <v>44445</v>
      </c>
      <c r="R438" s="4">
        <v>44505</v>
      </c>
      <c r="S438" s="3">
        <v>-1586</v>
      </c>
      <c r="T438" s="5">
        <v>0</v>
      </c>
      <c r="U438" s="2" t="s">
        <v>20</v>
      </c>
      <c r="V438" s="5">
        <v>1143199.32</v>
      </c>
      <c r="W438" s="5">
        <v>1143199.32</v>
      </c>
      <c r="X438" s="5">
        <v>1948692.47</v>
      </c>
    </row>
    <row r="439" spans="1:24" outlineLevel="2">
      <c r="M439" s="14" t="s">
        <v>742</v>
      </c>
      <c r="T439" s="5">
        <f>SUBTOTAL(9,T436:T438)</f>
        <v>0</v>
      </c>
      <c r="V439" s="5">
        <f>SUBTOTAL(9,V436:V438)</f>
        <v>1948692.47</v>
      </c>
      <c r="W439" s="5">
        <f>SUBTOTAL(9,W436:W438)</f>
        <v>1948692.47</v>
      </c>
    </row>
    <row r="440" spans="1:24" outlineLevel="1">
      <c r="A440" s="14" t="s">
        <v>726</v>
      </c>
      <c r="T440" s="5">
        <f>SUBTOTAL(9,T436:T438)</f>
        <v>0</v>
      </c>
      <c r="V440" s="5">
        <f>SUBTOTAL(9,V436:V438)</f>
        <v>1948692.47</v>
      </c>
      <c r="W440" s="5">
        <f>SUBTOTAL(9,W436:W438)</f>
        <v>1948692.47</v>
      </c>
    </row>
    <row r="441" spans="1:24" outlineLevel="3">
      <c r="A441" s="2" t="s">
        <v>569</v>
      </c>
      <c r="B441" s="3">
        <v>900866837</v>
      </c>
      <c r="C441" s="3">
        <v>0</v>
      </c>
      <c r="D441" s="2" t="s">
        <v>570</v>
      </c>
      <c r="E441" s="2">
        <v>6187694</v>
      </c>
      <c r="F441" s="2" t="s">
        <v>571</v>
      </c>
      <c r="G441" s="2" t="s">
        <v>572</v>
      </c>
      <c r="H441" s="2" t="s">
        <v>28</v>
      </c>
      <c r="I441" s="2" t="s">
        <v>11</v>
      </c>
      <c r="J441" s="2" t="s">
        <v>54</v>
      </c>
      <c r="K441" s="2" t="s">
        <v>55</v>
      </c>
      <c r="L441" s="2" t="s">
        <v>56</v>
      </c>
      <c r="M441" s="2" t="s">
        <v>32</v>
      </c>
      <c r="N441" s="3">
        <v>0</v>
      </c>
      <c r="O441" s="2" t="s">
        <v>33</v>
      </c>
      <c r="P441" s="2" t="s">
        <v>573</v>
      </c>
      <c r="Q441" s="4">
        <v>46083</v>
      </c>
      <c r="R441" s="4">
        <v>46113</v>
      </c>
      <c r="S441" s="3">
        <v>0</v>
      </c>
      <c r="T441" s="5">
        <v>0</v>
      </c>
      <c r="U441" s="2" t="s">
        <v>20</v>
      </c>
      <c r="V441" s="5">
        <v>1241284.2</v>
      </c>
      <c r="W441" s="5">
        <v>0</v>
      </c>
      <c r="X441" s="5">
        <v>0</v>
      </c>
    </row>
    <row r="442" spans="1:24" outlineLevel="2">
      <c r="M442" s="14" t="s">
        <v>742</v>
      </c>
      <c r="T442" s="5">
        <f>SUBTOTAL(9,T441:T441)</f>
        <v>0</v>
      </c>
      <c r="V442" s="5">
        <f>SUBTOTAL(9,V441:V441)</f>
        <v>1241284.2</v>
      </c>
      <c r="W442" s="5">
        <f>SUBTOTAL(9,W441:W441)</f>
        <v>0</v>
      </c>
    </row>
    <row r="443" spans="1:24" outlineLevel="1">
      <c r="A443" s="14" t="s">
        <v>727</v>
      </c>
      <c r="T443" s="5">
        <f>SUBTOTAL(9,T441:T441)</f>
        <v>0</v>
      </c>
      <c r="V443" s="5">
        <f>SUBTOTAL(9,V441:V441)</f>
        <v>1241284.2</v>
      </c>
      <c r="W443" s="5">
        <f>SUBTOTAL(9,W441:W441)</f>
        <v>0</v>
      </c>
    </row>
    <row r="444" spans="1:24" outlineLevel="3">
      <c r="A444" s="2" t="s">
        <v>574</v>
      </c>
      <c r="B444" s="3">
        <v>901004367</v>
      </c>
      <c r="C444" s="3">
        <v>0</v>
      </c>
      <c r="D444" s="2" t="s">
        <v>575</v>
      </c>
      <c r="E444" s="2">
        <v>5891657</v>
      </c>
      <c r="F444" s="2" t="s">
        <v>576</v>
      </c>
      <c r="G444" s="2" t="s">
        <v>157</v>
      </c>
      <c r="H444" s="2" t="s">
        <v>28</v>
      </c>
      <c r="I444" s="2" t="s">
        <v>11</v>
      </c>
      <c r="J444" s="2" t="s">
        <v>29</v>
      </c>
      <c r="K444" s="2" t="s">
        <v>269</v>
      </c>
      <c r="L444" s="2" t="s">
        <v>270</v>
      </c>
      <c r="M444" s="2" t="s">
        <v>32</v>
      </c>
      <c r="N444" s="3">
        <v>0</v>
      </c>
      <c r="O444" s="2" t="s">
        <v>33</v>
      </c>
      <c r="P444" s="2" t="s">
        <v>577</v>
      </c>
      <c r="Q444" s="4">
        <v>43816</v>
      </c>
      <c r="R444" s="4">
        <v>43877</v>
      </c>
      <c r="S444" s="3">
        <v>-2205</v>
      </c>
      <c r="T444" s="5">
        <v>0</v>
      </c>
      <c r="U444" s="2" t="s">
        <v>20</v>
      </c>
      <c r="V444" s="5">
        <v>4839100.55</v>
      </c>
      <c r="W444" s="5">
        <v>4839100.55</v>
      </c>
      <c r="X444" s="5">
        <v>4839100.55</v>
      </c>
    </row>
    <row r="445" spans="1:24" outlineLevel="3">
      <c r="A445" s="2" t="s">
        <v>574</v>
      </c>
      <c r="B445" s="3">
        <v>901004367</v>
      </c>
      <c r="C445" s="3">
        <v>0</v>
      </c>
      <c r="D445" s="2" t="s">
        <v>575</v>
      </c>
      <c r="E445" s="2">
        <v>5891657</v>
      </c>
      <c r="F445" s="2" t="s">
        <v>576</v>
      </c>
      <c r="G445" s="2" t="s">
        <v>157</v>
      </c>
      <c r="H445" s="2" t="s">
        <v>28</v>
      </c>
      <c r="I445" s="2" t="s">
        <v>11</v>
      </c>
      <c r="J445" s="2" t="s">
        <v>29</v>
      </c>
      <c r="K445" s="2" t="s">
        <v>269</v>
      </c>
      <c r="L445" s="2" t="s">
        <v>270</v>
      </c>
      <c r="M445" s="2" t="s">
        <v>32</v>
      </c>
      <c r="N445" s="3">
        <v>0</v>
      </c>
      <c r="O445" s="2" t="s">
        <v>33</v>
      </c>
      <c r="P445" s="2" t="s">
        <v>578</v>
      </c>
      <c r="Q445" s="4">
        <v>43818</v>
      </c>
      <c r="R445" s="4">
        <v>43879</v>
      </c>
      <c r="S445" s="3">
        <v>-2203</v>
      </c>
      <c r="T445" s="5">
        <v>0</v>
      </c>
      <c r="U445" s="2" t="s">
        <v>20</v>
      </c>
      <c r="V445" s="5">
        <v>4741317</v>
      </c>
      <c r="W445" s="5">
        <v>4741317</v>
      </c>
      <c r="X445" s="5">
        <v>9580417.5500000007</v>
      </c>
    </row>
    <row r="446" spans="1:24" outlineLevel="3">
      <c r="A446" s="2" t="s">
        <v>574</v>
      </c>
      <c r="B446" s="3">
        <v>901004367</v>
      </c>
      <c r="C446" s="3">
        <v>0</v>
      </c>
      <c r="D446" s="2" t="s">
        <v>575</v>
      </c>
      <c r="E446" s="2">
        <v>5891657</v>
      </c>
      <c r="F446" s="2" t="s">
        <v>576</v>
      </c>
      <c r="G446" s="2" t="s">
        <v>157</v>
      </c>
      <c r="H446" s="2" t="s">
        <v>28</v>
      </c>
      <c r="I446" s="2" t="s">
        <v>11</v>
      </c>
      <c r="J446" s="2" t="s">
        <v>29</v>
      </c>
      <c r="K446" s="2" t="s">
        <v>269</v>
      </c>
      <c r="L446" s="2" t="s">
        <v>270</v>
      </c>
      <c r="M446" s="2" t="s">
        <v>32</v>
      </c>
      <c r="N446" s="3">
        <v>0</v>
      </c>
      <c r="O446" s="2" t="s">
        <v>33</v>
      </c>
      <c r="P446" s="2" t="s">
        <v>579</v>
      </c>
      <c r="Q446" s="4">
        <v>43818</v>
      </c>
      <c r="R446" s="4">
        <v>43879</v>
      </c>
      <c r="S446" s="3">
        <v>-2203</v>
      </c>
      <c r="T446" s="5">
        <v>0</v>
      </c>
      <c r="U446" s="2" t="s">
        <v>20</v>
      </c>
      <c r="V446" s="5">
        <v>785400</v>
      </c>
      <c r="W446" s="5">
        <v>785400</v>
      </c>
      <c r="X446" s="5">
        <v>10365817.550000001</v>
      </c>
    </row>
    <row r="447" spans="1:24" outlineLevel="3">
      <c r="A447" s="2" t="s">
        <v>574</v>
      </c>
      <c r="B447" s="3">
        <v>901004367</v>
      </c>
      <c r="C447" s="3">
        <v>0</v>
      </c>
      <c r="D447" s="2" t="s">
        <v>575</v>
      </c>
      <c r="E447" s="2">
        <v>5891657</v>
      </c>
      <c r="F447" s="2" t="s">
        <v>576</v>
      </c>
      <c r="G447" s="2" t="s">
        <v>157</v>
      </c>
      <c r="H447" s="2" t="s">
        <v>28</v>
      </c>
      <c r="I447" s="2" t="s">
        <v>11</v>
      </c>
      <c r="J447" s="2" t="s">
        <v>29</v>
      </c>
      <c r="K447" s="2" t="s">
        <v>269</v>
      </c>
      <c r="L447" s="2" t="s">
        <v>270</v>
      </c>
      <c r="M447" s="2" t="s">
        <v>32</v>
      </c>
      <c r="N447" s="3">
        <v>0</v>
      </c>
      <c r="O447" s="2" t="s">
        <v>33</v>
      </c>
      <c r="P447" s="2" t="s">
        <v>580</v>
      </c>
      <c r="Q447" s="4">
        <v>43928</v>
      </c>
      <c r="R447" s="4">
        <v>43988</v>
      </c>
      <c r="S447" s="3">
        <v>-2095</v>
      </c>
      <c r="T447" s="5">
        <v>0</v>
      </c>
      <c r="U447" s="2" t="s">
        <v>20</v>
      </c>
      <c r="V447" s="5">
        <v>9141801.5999999996</v>
      </c>
      <c r="W447" s="5">
        <v>9141801.5999999996</v>
      </c>
      <c r="X447" s="5">
        <v>19507619.149999999</v>
      </c>
    </row>
    <row r="448" spans="1:24" outlineLevel="3">
      <c r="A448" s="2" t="s">
        <v>574</v>
      </c>
      <c r="B448" s="3">
        <v>901004367</v>
      </c>
      <c r="C448" s="3">
        <v>0</v>
      </c>
      <c r="D448" s="2" t="s">
        <v>575</v>
      </c>
      <c r="E448" s="2">
        <v>5891657</v>
      </c>
      <c r="F448" s="2" t="s">
        <v>576</v>
      </c>
      <c r="G448" s="2" t="s">
        <v>157</v>
      </c>
      <c r="H448" s="2" t="s">
        <v>28</v>
      </c>
      <c r="I448" s="2" t="s">
        <v>11</v>
      </c>
      <c r="J448" s="2" t="s">
        <v>29</v>
      </c>
      <c r="K448" s="2" t="s">
        <v>269</v>
      </c>
      <c r="L448" s="2" t="s">
        <v>270</v>
      </c>
      <c r="M448" s="2" t="s">
        <v>32</v>
      </c>
      <c r="N448" s="3">
        <v>0</v>
      </c>
      <c r="O448" s="2" t="s">
        <v>33</v>
      </c>
      <c r="P448" s="2" t="s">
        <v>581</v>
      </c>
      <c r="Q448" s="4">
        <v>44102</v>
      </c>
      <c r="R448" s="4">
        <v>44162</v>
      </c>
      <c r="S448" s="3">
        <v>-1924</v>
      </c>
      <c r="T448" s="5">
        <v>0</v>
      </c>
      <c r="U448" s="2" t="s">
        <v>20</v>
      </c>
      <c r="V448" s="5">
        <v>3499927.95</v>
      </c>
      <c r="W448" s="5">
        <v>3499927.95</v>
      </c>
      <c r="X448" s="5">
        <v>23007547.100000001</v>
      </c>
    </row>
    <row r="449" spans="1:24" outlineLevel="3">
      <c r="A449" s="2" t="s">
        <v>574</v>
      </c>
      <c r="B449" s="3">
        <v>901004367</v>
      </c>
      <c r="C449" s="3">
        <v>0</v>
      </c>
      <c r="D449" s="2" t="s">
        <v>575</v>
      </c>
      <c r="E449" s="2">
        <v>5891657</v>
      </c>
      <c r="F449" s="2" t="s">
        <v>576</v>
      </c>
      <c r="G449" s="2" t="s">
        <v>157</v>
      </c>
      <c r="H449" s="2" t="s">
        <v>28</v>
      </c>
      <c r="I449" s="2" t="s">
        <v>11</v>
      </c>
      <c r="J449" s="2" t="s">
        <v>29</v>
      </c>
      <c r="K449" s="2" t="s">
        <v>269</v>
      </c>
      <c r="L449" s="2" t="s">
        <v>270</v>
      </c>
      <c r="M449" s="2" t="s">
        <v>32</v>
      </c>
      <c r="N449" s="3">
        <v>0</v>
      </c>
      <c r="O449" s="2" t="s">
        <v>33</v>
      </c>
      <c r="P449" s="2" t="s">
        <v>582</v>
      </c>
      <c r="Q449" s="4">
        <v>44138</v>
      </c>
      <c r="R449" s="4">
        <v>44198</v>
      </c>
      <c r="S449" s="3">
        <v>-1889</v>
      </c>
      <c r="T449" s="5">
        <v>0</v>
      </c>
      <c r="U449" s="2" t="s">
        <v>20</v>
      </c>
      <c r="V449" s="5">
        <v>580434.4</v>
      </c>
      <c r="W449" s="5">
        <v>580434.4</v>
      </c>
      <c r="X449" s="5">
        <v>23587981.5</v>
      </c>
    </row>
    <row r="450" spans="1:24" outlineLevel="3">
      <c r="A450" s="2" t="s">
        <v>574</v>
      </c>
      <c r="B450" s="3">
        <v>901004367</v>
      </c>
      <c r="C450" s="3">
        <v>0</v>
      </c>
      <c r="D450" s="2" t="s">
        <v>575</v>
      </c>
      <c r="E450" s="2">
        <v>5891657</v>
      </c>
      <c r="F450" s="2" t="s">
        <v>576</v>
      </c>
      <c r="G450" s="2" t="s">
        <v>157</v>
      </c>
      <c r="H450" s="2" t="s">
        <v>28</v>
      </c>
      <c r="I450" s="2" t="s">
        <v>11</v>
      </c>
      <c r="J450" s="2" t="s">
        <v>29</v>
      </c>
      <c r="K450" s="2" t="s">
        <v>269</v>
      </c>
      <c r="L450" s="2" t="s">
        <v>270</v>
      </c>
      <c r="M450" s="2" t="s">
        <v>32</v>
      </c>
      <c r="N450" s="3">
        <v>0</v>
      </c>
      <c r="O450" s="2" t="s">
        <v>33</v>
      </c>
      <c r="P450" s="2" t="s">
        <v>583</v>
      </c>
      <c r="Q450" s="4">
        <v>44167</v>
      </c>
      <c r="R450" s="4">
        <v>44228</v>
      </c>
      <c r="S450" s="3">
        <v>-1860</v>
      </c>
      <c r="T450" s="5">
        <v>0</v>
      </c>
      <c r="U450" s="2" t="s">
        <v>20</v>
      </c>
      <c r="V450" s="5">
        <v>1922366.48</v>
      </c>
      <c r="W450" s="5">
        <v>1922366.48</v>
      </c>
      <c r="X450" s="5">
        <v>25510347.98</v>
      </c>
    </row>
    <row r="451" spans="1:24" outlineLevel="3">
      <c r="A451" s="2" t="s">
        <v>574</v>
      </c>
      <c r="B451" s="3">
        <v>901004367</v>
      </c>
      <c r="C451" s="3">
        <v>0</v>
      </c>
      <c r="D451" s="2" t="s">
        <v>575</v>
      </c>
      <c r="E451" s="2">
        <v>5891657</v>
      </c>
      <c r="F451" s="2" t="s">
        <v>576</v>
      </c>
      <c r="G451" s="2" t="s">
        <v>157</v>
      </c>
      <c r="H451" s="2" t="s">
        <v>28</v>
      </c>
      <c r="I451" s="2" t="s">
        <v>11</v>
      </c>
      <c r="J451" s="2" t="s">
        <v>29</v>
      </c>
      <c r="K451" s="2" t="s">
        <v>269</v>
      </c>
      <c r="L451" s="2" t="s">
        <v>270</v>
      </c>
      <c r="M451" s="2" t="s">
        <v>32</v>
      </c>
      <c r="N451" s="3">
        <v>0</v>
      </c>
      <c r="O451" s="2" t="s">
        <v>33</v>
      </c>
      <c r="P451" s="2" t="s">
        <v>584</v>
      </c>
      <c r="Q451" s="4">
        <v>44187</v>
      </c>
      <c r="R451" s="4">
        <v>44248</v>
      </c>
      <c r="S451" s="3">
        <v>-1840</v>
      </c>
      <c r="T451" s="5">
        <v>0</v>
      </c>
      <c r="U451" s="2" t="s">
        <v>20</v>
      </c>
      <c r="V451" s="5">
        <v>1597430.51</v>
      </c>
      <c r="W451" s="5">
        <v>1597430.51</v>
      </c>
      <c r="X451" s="5">
        <v>27107778.489999998</v>
      </c>
    </row>
    <row r="452" spans="1:24" outlineLevel="2">
      <c r="M452" s="14" t="s">
        <v>742</v>
      </c>
      <c r="T452" s="5">
        <f>SUBTOTAL(9,T444:T451)</f>
        <v>0</v>
      </c>
      <c r="V452" s="5">
        <f>SUBTOTAL(9,V444:V451)</f>
        <v>27107778.489999998</v>
      </c>
      <c r="W452" s="5">
        <f>SUBTOTAL(9,W444:W451)</f>
        <v>27107778.489999998</v>
      </c>
    </row>
    <row r="453" spans="1:24" outlineLevel="1">
      <c r="A453" s="14" t="s">
        <v>728</v>
      </c>
      <c r="T453" s="5">
        <f>SUBTOTAL(9,T444:T451)</f>
        <v>0</v>
      </c>
      <c r="V453" s="5">
        <f>SUBTOTAL(9,V444:V451)</f>
        <v>27107778.489999998</v>
      </c>
      <c r="W453" s="5">
        <f>SUBTOTAL(9,W444:W451)</f>
        <v>27107778.489999998</v>
      </c>
    </row>
    <row r="454" spans="1:24" outlineLevel="3">
      <c r="A454" s="2" t="s">
        <v>585</v>
      </c>
      <c r="B454" s="3">
        <v>901088196</v>
      </c>
      <c r="C454" s="3">
        <v>0</v>
      </c>
      <c r="D454" s="2" t="s">
        <v>586</v>
      </c>
      <c r="E454" s="2">
        <v>8941004</v>
      </c>
      <c r="F454" s="2" t="s">
        <v>587</v>
      </c>
      <c r="G454" s="2" t="s">
        <v>588</v>
      </c>
      <c r="H454" s="2" t="s">
        <v>28</v>
      </c>
      <c r="I454" s="2" t="s">
        <v>11</v>
      </c>
      <c r="J454" s="2" t="s">
        <v>59</v>
      </c>
      <c r="K454" s="2" t="s">
        <v>47</v>
      </c>
      <c r="L454" s="2" t="s">
        <v>48</v>
      </c>
      <c r="M454" s="2" t="s">
        <v>32</v>
      </c>
      <c r="N454" s="3">
        <v>0</v>
      </c>
      <c r="O454" s="2" t="s">
        <v>33</v>
      </c>
      <c r="P454" s="2" t="s">
        <v>589</v>
      </c>
      <c r="Q454" s="4">
        <v>45972</v>
      </c>
      <c r="R454" s="4">
        <v>45999</v>
      </c>
      <c r="S454" s="3">
        <v>-113</v>
      </c>
      <c r="T454" s="5">
        <v>0</v>
      </c>
      <c r="U454" s="2" t="s">
        <v>20</v>
      </c>
      <c r="V454" s="5">
        <v>-94916.25</v>
      </c>
      <c r="W454" s="5">
        <v>-94916.25</v>
      </c>
      <c r="X454" s="5">
        <v>-94916.25</v>
      </c>
    </row>
    <row r="455" spans="1:24" outlineLevel="3">
      <c r="A455" s="2" t="s">
        <v>585</v>
      </c>
      <c r="B455" s="3">
        <v>901088196</v>
      </c>
      <c r="C455" s="3">
        <v>0</v>
      </c>
      <c r="D455" s="2" t="s">
        <v>586</v>
      </c>
      <c r="E455" s="2">
        <v>8941004</v>
      </c>
      <c r="F455" s="2" t="s">
        <v>587</v>
      </c>
      <c r="G455" s="2" t="s">
        <v>588</v>
      </c>
      <c r="H455" s="2" t="s">
        <v>28</v>
      </c>
      <c r="I455" s="2" t="s">
        <v>11</v>
      </c>
      <c r="J455" s="2" t="s">
        <v>67</v>
      </c>
      <c r="K455" s="2" t="s">
        <v>47</v>
      </c>
      <c r="L455" s="2" t="s">
        <v>48</v>
      </c>
      <c r="M455" s="2" t="s">
        <v>32</v>
      </c>
      <c r="N455" s="3">
        <v>0</v>
      </c>
      <c r="O455" s="2" t="s">
        <v>33</v>
      </c>
      <c r="P455" s="2" t="s">
        <v>590</v>
      </c>
      <c r="Q455" s="4">
        <v>46072</v>
      </c>
      <c r="R455" s="4">
        <v>46130</v>
      </c>
      <c r="S455" s="3">
        <v>17</v>
      </c>
      <c r="T455" s="5">
        <v>0</v>
      </c>
      <c r="U455" s="2" t="s">
        <v>58</v>
      </c>
      <c r="V455" s="5">
        <v>4162055.62</v>
      </c>
      <c r="W455" s="5">
        <v>0</v>
      </c>
      <c r="X455" s="5">
        <v>-94916.25</v>
      </c>
    </row>
    <row r="456" spans="1:24" outlineLevel="3">
      <c r="A456" s="2" t="s">
        <v>585</v>
      </c>
      <c r="B456" s="3">
        <v>901088196</v>
      </c>
      <c r="C456" s="3">
        <v>0</v>
      </c>
      <c r="D456" s="2" t="s">
        <v>586</v>
      </c>
      <c r="E456" s="2">
        <v>8941004</v>
      </c>
      <c r="F456" s="2" t="s">
        <v>587</v>
      </c>
      <c r="G456" s="2" t="s">
        <v>588</v>
      </c>
      <c r="H456" s="2" t="s">
        <v>28</v>
      </c>
      <c r="I456" s="2" t="s">
        <v>11</v>
      </c>
      <c r="J456" s="2" t="s">
        <v>67</v>
      </c>
      <c r="K456" s="2" t="s">
        <v>47</v>
      </c>
      <c r="L456" s="2" t="s">
        <v>48</v>
      </c>
      <c r="M456" s="2" t="s">
        <v>32</v>
      </c>
      <c r="N456" s="3">
        <v>0</v>
      </c>
      <c r="O456" s="2" t="s">
        <v>33</v>
      </c>
      <c r="P456" s="2" t="s">
        <v>591</v>
      </c>
      <c r="Q456" s="4">
        <v>46093</v>
      </c>
      <c r="R456" s="4">
        <v>46153</v>
      </c>
      <c r="S456" s="3">
        <v>40</v>
      </c>
      <c r="T456" s="5">
        <v>0</v>
      </c>
      <c r="U456" s="2" t="s">
        <v>58</v>
      </c>
      <c r="V456" s="5">
        <v>3821863.5</v>
      </c>
      <c r="W456" s="5">
        <v>0</v>
      </c>
      <c r="X456" s="5">
        <v>-94916.25</v>
      </c>
    </row>
    <row r="457" spans="1:24" outlineLevel="2">
      <c r="M457" s="14" t="s">
        <v>742</v>
      </c>
      <c r="T457" s="5">
        <f>SUBTOTAL(9,T454:T456)</f>
        <v>0</v>
      </c>
      <c r="V457" s="5">
        <f>SUBTOTAL(9,V454:V456)</f>
        <v>7889002.8700000001</v>
      </c>
      <c r="W457" s="5">
        <f>SUBTOTAL(9,W454:W456)</f>
        <v>-94916.25</v>
      </c>
    </row>
    <row r="458" spans="1:24" outlineLevel="1">
      <c r="A458" s="14" t="s">
        <v>729</v>
      </c>
      <c r="T458" s="5">
        <f>SUBTOTAL(9,T454:T456)</f>
        <v>0</v>
      </c>
      <c r="V458" s="5">
        <f>SUBTOTAL(9,V454:V456)</f>
        <v>7889002.8700000001</v>
      </c>
      <c r="W458" s="5">
        <f>SUBTOTAL(9,W454:W456)</f>
        <v>-94916.25</v>
      </c>
    </row>
    <row r="459" spans="1:24" outlineLevel="3">
      <c r="A459" s="2" t="s">
        <v>592</v>
      </c>
      <c r="B459" s="3">
        <v>901133208</v>
      </c>
      <c r="C459" s="3">
        <v>0</v>
      </c>
      <c r="D459" s="2" t="s">
        <v>593</v>
      </c>
      <c r="E459" s="2">
        <v>7413300</v>
      </c>
      <c r="F459" s="2" t="s">
        <v>594</v>
      </c>
      <c r="G459" s="2" t="s">
        <v>38</v>
      </c>
      <c r="H459" s="2" t="s">
        <v>28</v>
      </c>
      <c r="I459" s="2" t="s">
        <v>11</v>
      </c>
      <c r="J459" s="2" t="s">
        <v>59</v>
      </c>
      <c r="K459" s="2" t="s">
        <v>138</v>
      </c>
      <c r="L459" s="2" t="s">
        <v>139</v>
      </c>
      <c r="M459" s="2" t="s">
        <v>32</v>
      </c>
      <c r="N459" s="3">
        <v>0</v>
      </c>
      <c r="O459" s="2" t="s">
        <v>33</v>
      </c>
      <c r="P459" s="2" t="s">
        <v>595</v>
      </c>
      <c r="Q459" s="4">
        <v>44123</v>
      </c>
      <c r="R459" s="4">
        <v>44183</v>
      </c>
      <c r="S459" s="3">
        <v>-1903</v>
      </c>
      <c r="T459" s="5">
        <v>0</v>
      </c>
      <c r="U459" s="2" t="s">
        <v>20</v>
      </c>
      <c r="V459" s="5">
        <v>3165392.62</v>
      </c>
      <c r="W459" s="5">
        <v>3165392.62</v>
      </c>
      <c r="X459" s="5">
        <v>3165392.62</v>
      </c>
    </row>
    <row r="460" spans="1:24" outlineLevel="3">
      <c r="A460" s="2" t="s">
        <v>592</v>
      </c>
      <c r="B460" s="3">
        <v>901133208</v>
      </c>
      <c r="C460" s="3">
        <v>0</v>
      </c>
      <c r="D460" s="2" t="s">
        <v>593</v>
      </c>
      <c r="E460" s="2">
        <v>7413300</v>
      </c>
      <c r="F460" s="2" t="s">
        <v>594</v>
      </c>
      <c r="G460" s="2" t="s">
        <v>38</v>
      </c>
      <c r="H460" s="2" t="s">
        <v>28</v>
      </c>
      <c r="I460" s="2" t="s">
        <v>11</v>
      </c>
      <c r="J460" s="2" t="s">
        <v>141</v>
      </c>
      <c r="K460" s="2" t="s">
        <v>138</v>
      </c>
      <c r="L460" s="2" t="s">
        <v>139</v>
      </c>
      <c r="M460" s="2" t="s">
        <v>32</v>
      </c>
      <c r="N460" s="3">
        <v>0</v>
      </c>
      <c r="O460" s="2" t="s">
        <v>33</v>
      </c>
      <c r="P460" s="2" t="s">
        <v>596</v>
      </c>
      <c r="Q460" s="4">
        <v>44123</v>
      </c>
      <c r="R460" s="4">
        <v>44183</v>
      </c>
      <c r="S460" s="3">
        <v>-1903</v>
      </c>
      <c r="T460" s="5">
        <v>0</v>
      </c>
      <c r="U460" s="2" t="s">
        <v>20</v>
      </c>
      <c r="V460" s="5">
        <v>7856505.8700000001</v>
      </c>
      <c r="W460" s="5">
        <v>7856505.8700000001</v>
      </c>
      <c r="X460" s="5">
        <v>11021898.49</v>
      </c>
    </row>
    <row r="461" spans="1:24" outlineLevel="3">
      <c r="A461" s="2" t="s">
        <v>592</v>
      </c>
      <c r="B461" s="3">
        <v>901133208</v>
      </c>
      <c r="C461" s="3">
        <v>0</v>
      </c>
      <c r="D461" s="2" t="s">
        <v>593</v>
      </c>
      <c r="E461" s="2">
        <v>7413300</v>
      </c>
      <c r="F461" s="2" t="s">
        <v>594</v>
      </c>
      <c r="G461" s="2" t="s">
        <v>38</v>
      </c>
      <c r="H461" s="2" t="s">
        <v>28</v>
      </c>
      <c r="I461" s="2" t="s">
        <v>11</v>
      </c>
      <c r="J461" s="2" t="s">
        <v>141</v>
      </c>
      <c r="K461" s="2" t="s">
        <v>138</v>
      </c>
      <c r="L461" s="2" t="s">
        <v>139</v>
      </c>
      <c r="M461" s="2" t="s">
        <v>32</v>
      </c>
      <c r="N461" s="3">
        <v>0</v>
      </c>
      <c r="O461" s="2" t="s">
        <v>33</v>
      </c>
      <c r="P461" s="2" t="s">
        <v>597</v>
      </c>
      <c r="Q461" s="4">
        <v>44127</v>
      </c>
      <c r="R461" s="4">
        <v>44187</v>
      </c>
      <c r="S461" s="3">
        <v>-1899</v>
      </c>
      <c r="T461" s="5">
        <v>0</v>
      </c>
      <c r="U461" s="2" t="s">
        <v>20</v>
      </c>
      <c r="V461" s="5">
        <v>2434163.2200000002</v>
      </c>
      <c r="W461" s="5">
        <v>2434163.2200000002</v>
      </c>
      <c r="X461" s="5">
        <v>13456061.710000001</v>
      </c>
    </row>
    <row r="462" spans="1:24" outlineLevel="3">
      <c r="A462" s="2" t="s">
        <v>592</v>
      </c>
      <c r="B462" s="3">
        <v>901133208</v>
      </c>
      <c r="C462" s="3">
        <v>0</v>
      </c>
      <c r="D462" s="2" t="s">
        <v>593</v>
      </c>
      <c r="E462" s="2">
        <v>7413300</v>
      </c>
      <c r="F462" s="2" t="s">
        <v>594</v>
      </c>
      <c r="G462" s="2" t="s">
        <v>38</v>
      </c>
      <c r="H462" s="2" t="s">
        <v>28</v>
      </c>
      <c r="I462" s="2" t="s">
        <v>11</v>
      </c>
      <c r="J462" s="2" t="s">
        <v>141</v>
      </c>
      <c r="K462" s="2" t="s">
        <v>138</v>
      </c>
      <c r="L462" s="2" t="s">
        <v>139</v>
      </c>
      <c r="M462" s="2" t="s">
        <v>32</v>
      </c>
      <c r="N462" s="3">
        <v>0</v>
      </c>
      <c r="O462" s="2" t="s">
        <v>33</v>
      </c>
      <c r="P462" s="2" t="s">
        <v>598</v>
      </c>
      <c r="Q462" s="4">
        <v>44134</v>
      </c>
      <c r="R462" s="4">
        <v>44194</v>
      </c>
      <c r="S462" s="3">
        <v>-1892</v>
      </c>
      <c r="T462" s="5">
        <v>0</v>
      </c>
      <c r="U462" s="2" t="s">
        <v>20</v>
      </c>
      <c r="V462" s="5">
        <v>2788890.53</v>
      </c>
      <c r="W462" s="5">
        <v>2788890.53</v>
      </c>
      <c r="X462" s="5">
        <v>16244952.24</v>
      </c>
    </row>
    <row r="463" spans="1:24" outlineLevel="3">
      <c r="A463" s="2" t="s">
        <v>592</v>
      </c>
      <c r="B463" s="3">
        <v>901133208</v>
      </c>
      <c r="C463" s="3">
        <v>0</v>
      </c>
      <c r="D463" s="2" t="s">
        <v>593</v>
      </c>
      <c r="E463" s="2">
        <v>7413300</v>
      </c>
      <c r="F463" s="2" t="s">
        <v>594</v>
      </c>
      <c r="G463" s="2" t="s">
        <v>38</v>
      </c>
      <c r="H463" s="2" t="s">
        <v>28</v>
      </c>
      <c r="I463" s="2" t="s">
        <v>11</v>
      </c>
      <c r="J463" s="2" t="s">
        <v>141</v>
      </c>
      <c r="K463" s="2" t="s">
        <v>138</v>
      </c>
      <c r="L463" s="2" t="s">
        <v>139</v>
      </c>
      <c r="M463" s="2" t="s">
        <v>32</v>
      </c>
      <c r="N463" s="3">
        <v>0</v>
      </c>
      <c r="O463" s="2" t="s">
        <v>33</v>
      </c>
      <c r="P463" s="2" t="s">
        <v>599</v>
      </c>
      <c r="Q463" s="4">
        <v>44139</v>
      </c>
      <c r="R463" s="4">
        <v>44199</v>
      </c>
      <c r="S463" s="3">
        <v>-1888</v>
      </c>
      <c r="T463" s="5">
        <v>0</v>
      </c>
      <c r="U463" s="2" t="s">
        <v>20</v>
      </c>
      <c r="V463" s="5">
        <v>4109943.94</v>
      </c>
      <c r="W463" s="5">
        <v>4109943.94</v>
      </c>
      <c r="X463" s="5">
        <v>20354896.18</v>
      </c>
    </row>
    <row r="464" spans="1:24" outlineLevel="3">
      <c r="A464" s="2" t="s">
        <v>592</v>
      </c>
      <c r="B464" s="3">
        <v>901133208</v>
      </c>
      <c r="C464" s="3">
        <v>0</v>
      </c>
      <c r="D464" s="2" t="s">
        <v>593</v>
      </c>
      <c r="E464" s="2">
        <v>7413300</v>
      </c>
      <c r="F464" s="2" t="s">
        <v>594</v>
      </c>
      <c r="G464" s="2" t="s">
        <v>38</v>
      </c>
      <c r="H464" s="2" t="s">
        <v>28</v>
      </c>
      <c r="I464" s="2" t="s">
        <v>11</v>
      </c>
      <c r="J464" s="2" t="s">
        <v>141</v>
      </c>
      <c r="K464" s="2" t="s">
        <v>138</v>
      </c>
      <c r="L464" s="2" t="s">
        <v>139</v>
      </c>
      <c r="M464" s="2" t="s">
        <v>32</v>
      </c>
      <c r="N464" s="3">
        <v>0</v>
      </c>
      <c r="O464" s="2" t="s">
        <v>33</v>
      </c>
      <c r="P464" s="2" t="s">
        <v>600</v>
      </c>
      <c r="Q464" s="4">
        <v>44144</v>
      </c>
      <c r="R464" s="4">
        <v>44204</v>
      </c>
      <c r="S464" s="3">
        <v>-1883</v>
      </c>
      <c r="T464" s="5">
        <v>0</v>
      </c>
      <c r="U464" s="2" t="s">
        <v>20</v>
      </c>
      <c r="V464" s="5">
        <v>2434163.2200000002</v>
      </c>
      <c r="W464" s="5">
        <v>2434163.2200000002</v>
      </c>
      <c r="X464" s="5">
        <v>22789059.399999999</v>
      </c>
    </row>
    <row r="465" spans="1:24" outlineLevel="3">
      <c r="A465" s="2" t="s">
        <v>592</v>
      </c>
      <c r="B465" s="3">
        <v>901133208</v>
      </c>
      <c r="C465" s="3">
        <v>0</v>
      </c>
      <c r="D465" s="2" t="s">
        <v>593</v>
      </c>
      <c r="E465" s="2">
        <v>7413300</v>
      </c>
      <c r="F465" s="2" t="s">
        <v>594</v>
      </c>
      <c r="G465" s="2" t="s">
        <v>38</v>
      </c>
      <c r="H465" s="2" t="s">
        <v>28</v>
      </c>
      <c r="I465" s="2" t="s">
        <v>11</v>
      </c>
      <c r="J465" s="2" t="s">
        <v>141</v>
      </c>
      <c r="K465" s="2" t="s">
        <v>138</v>
      </c>
      <c r="L465" s="2" t="s">
        <v>139</v>
      </c>
      <c r="M465" s="2" t="s">
        <v>32</v>
      </c>
      <c r="N465" s="3">
        <v>0</v>
      </c>
      <c r="O465" s="2" t="s">
        <v>33</v>
      </c>
      <c r="P465" s="2" t="s">
        <v>601</v>
      </c>
      <c r="Q465" s="4">
        <v>44145</v>
      </c>
      <c r="R465" s="4">
        <v>44205</v>
      </c>
      <c r="S465" s="3">
        <v>-1882</v>
      </c>
      <c r="T465" s="5">
        <v>0</v>
      </c>
      <c r="U465" s="2" t="s">
        <v>20</v>
      </c>
      <c r="V465" s="5">
        <v>5749028.7199999997</v>
      </c>
      <c r="W465" s="5">
        <v>5749028.7199999997</v>
      </c>
      <c r="X465" s="5">
        <v>28538088.120000001</v>
      </c>
    </row>
    <row r="466" spans="1:24" outlineLevel="3">
      <c r="A466" s="2" t="s">
        <v>592</v>
      </c>
      <c r="B466" s="3">
        <v>901133208</v>
      </c>
      <c r="C466" s="3">
        <v>0</v>
      </c>
      <c r="D466" s="2" t="s">
        <v>593</v>
      </c>
      <c r="E466" s="2">
        <v>7413300</v>
      </c>
      <c r="F466" s="2" t="s">
        <v>594</v>
      </c>
      <c r="G466" s="2" t="s">
        <v>38</v>
      </c>
      <c r="H466" s="2" t="s">
        <v>28</v>
      </c>
      <c r="I466" s="2" t="s">
        <v>11</v>
      </c>
      <c r="J466" s="2" t="s">
        <v>141</v>
      </c>
      <c r="K466" s="2" t="s">
        <v>138</v>
      </c>
      <c r="L466" s="2" t="s">
        <v>139</v>
      </c>
      <c r="M466" s="2" t="s">
        <v>32</v>
      </c>
      <c r="N466" s="3">
        <v>0</v>
      </c>
      <c r="O466" s="2" t="s">
        <v>33</v>
      </c>
      <c r="P466" s="2" t="s">
        <v>602</v>
      </c>
      <c r="Q466" s="4">
        <v>44145</v>
      </c>
      <c r="R466" s="4">
        <v>44205</v>
      </c>
      <c r="S466" s="3">
        <v>-1882</v>
      </c>
      <c r="T466" s="5">
        <v>0</v>
      </c>
      <c r="U466" s="2" t="s">
        <v>20</v>
      </c>
      <c r="V466" s="5">
        <v>4746006.6900000004</v>
      </c>
      <c r="W466" s="5">
        <v>4746006.6900000004</v>
      </c>
      <c r="X466" s="5">
        <v>33284094.809999999</v>
      </c>
    </row>
    <row r="467" spans="1:24" outlineLevel="3">
      <c r="A467" s="2" t="s">
        <v>592</v>
      </c>
      <c r="B467" s="3">
        <v>901133208</v>
      </c>
      <c r="C467" s="3">
        <v>0</v>
      </c>
      <c r="D467" s="2" t="s">
        <v>593</v>
      </c>
      <c r="E467" s="2">
        <v>7413300</v>
      </c>
      <c r="F467" s="2" t="s">
        <v>594</v>
      </c>
      <c r="G467" s="2" t="s">
        <v>38</v>
      </c>
      <c r="H467" s="2" t="s">
        <v>28</v>
      </c>
      <c r="I467" s="2" t="s">
        <v>11</v>
      </c>
      <c r="J467" s="2" t="s">
        <v>141</v>
      </c>
      <c r="K467" s="2" t="s">
        <v>138</v>
      </c>
      <c r="L467" s="2" t="s">
        <v>139</v>
      </c>
      <c r="M467" s="2" t="s">
        <v>32</v>
      </c>
      <c r="N467" s="3">
        <v>0</v>
      </c>
      <c r="O467" s="2" t="s">
        <v>33</v>
      </c>
      <c r="P467" s="2" t="s">
        <v>603</v>
      </c>
      <c r="Q467" s="4">
        <v>44148</v>
      </c>
      <c r="R467" s="4">
        <v>44208</v>
      </c>
      <c r="S467" s="3">
        <v>-1879</v>
      </c>
      <c r="T467" s="5">
        <v>0</v>
      </c>
      <c r="U467" s="2" t="s">
        <v>20</v>
      </c>
      <c r="V467" s="5">
        <v>7846235.6200000001</v>
      </c>
      <c r="W467" s="5">
        <v>7846235.6200000001</v>
      </c>
      <c r="X467" s="5">
        <v>41130330.43</v>
      </c>
    </row>
    <row r="468" spans="1:24" outlineLevel="3">
      <c r="A468" s="2" t="s">
        <v>592</v>
      </c>
      <c r="B468" s="3">
        <v>901133208</v>
      </c>
      <c r="C468" s="3">
        <v>0</v>
      </c>
      <c r="D468" s="2" t="s">
        <v>593</v>
      </c>
      <c r="E468" s="2">
        <v>7413300</v>
      </c>
      <c r="F468" s="2" t="s">
        <v>594</v>
      </c>
      <c r="G468" s="2" t="s">
        <v>38</v>
      </c>
      <c r="H468" s="2" t="s">
        <v>28</v>
      </c>
      <c r="I468" s="2" t="s">
        <v>11</v>
      </c>
      <c r="J468" s="2" t="s">
        <v>141</v>
      </c>
      <c r="K468" s="2" t="s">
        <v>138</v>
      </c>
      <c r="L468" s="2" t="s">
        <v>139</v>
      </c>
      <c r="M468" s="2" t="s">
        <v>32</v>
      </c>
      <c r="N468" s="3">
        <v>0</v>
      </c>
      <c r="O468" s="2" t="s">
        <v>33</v>
      </c>
      <c r="P468" s="2" t="s">
        <v>604</v>
      </c>
      <c r="Q468" s="4">
        <v>44154</v>
      </c>
      <c r="R468" s="4">
        <v>44214</v>
      </c>
      <c r="S468" s="3">
        <v>-1873</v>
      </c>
      <c r="T468" s="5">
        <v>0</v>
      </c>
      <c r="U468" s="2" t="s">
        <v>20</v>
      </c>
      <c r="V468" s="5">
        <v>1448265.96</v>
      </c>
      <c r="W468" s="5">
        <v>1448265.96</v>
      </c>
      <c r="X468" s="5">
        <v>42578596.390000001</v>
      </c>
    </row>
    <row r="469" spans="1:24" outlineLevel="3">
      <c r="A469" s="2" t="s">
        <v>592</v>
      </c>
      <c r="B469" s="3">
        <v>901133208</v>
      </c>
      <c r="C469" s="3">
        <v>0</v>
      </c>
      <c r="D469" s="2" t="s">
        <v>593</v>
      </c>
      <c r="E469" s="2">
        <v>7413300</v>
      </c>
      <c r="F469" s="2" t="s">
        <v>594</v>
      </c>
      <c r="G469" s="2" t="s">
        <v>38</v>
      </c>
      <c r="H469" s="2" t="s">
        <v>28</v>
      </c>
      <c r="I469" s="2" t="s">
        <v>11</v>
      </c>
      <c r="J469" s="2" t="s">
        <v>141</v>
      </c>
      <c r="K469" s="2" t="s">
        <v>138</v>
      </c>
      <c r="L469" s="2" t="s">
        <v>139</v>
      </c>
      <c r="M469" s="2" t="s">
        <v>32</v>
      </c>
      <c r="N469" s="3">
        <v>0</v>
      </c>
      <c r="O469" s="2" t="s">
        <v>33</v>
      </c>
      <c r="P469" s="2" t="s">
        <v>605</v>
      </c>
      <c r="Q469" s="4">
        <v>44154</v>
      </c>
      <c r="R469" s="4">
        <v>44214</v>
      </c>
      <c r="S469" s="3">
        <v>-1873</v>
      </c>
      <c r="T469" s="5">
        <v>0</v>
      </c>
      <c r="U469" s="2" t="s">
        <v>20</v>
      </c>
      <c r="V469" s="5">
        <v>2434163.2200000002</v>
      </c>
      <c r="W469" s="5">
        <v>2434163.2200000002</v>
      </c>
      <c r="X469" s="5">
        <v>45012759.609999999</v>
      </c>
    </row>
    <row r="470" spans="1:24" outlineLevel="3">
      <c r="A470" s="2" t="s">
        <v>592</v>
      </c>
      <c r="B470" s="3">
        <v>901133208</v>
      </c>
      <c r="C470" s="3">
        <v>0</v>
      </c>
      <c r="D470" s="2" t="s">
        <v>593</v>
      </c>
      <c r="E470" s="2">
        <v>7413300</v>
      </c>
      <c r="F470" s="2" t="s">
        <v>594</v>
      </c>
      <c r="G470" s="2" t="s">
        <v>38</v>
      </c>
      <c r="H470" s="2" t="s">
        <v>28</v>
      </c>
      <c r="I470" s="2" t="s">
        <v>11</v>
      </c>
      <c r="J470" s="2" t="s">
        <v>141</v>
      </c>
      <c r="K470" s="2" t="s">
        <v>138</v>
      </c>
      <c r="L470" s="2" t="s">
        <v>139</v>
      </c>
      <c r="M470" s="2" t="s">
        <v>32</v>
      </c>
      <c r="N470" s="3">
        <v>0</v>
      </c>
      <c r="O470" s="2" t="s">
        <v>33</v>
      </c>
      <c r="P470" s="2" t="s">
        <v>606</v>
      </c>
      <c r="Q470" s="4">
        <v>44154</v>
      </c>
      <c r="R470" s="4">
        <v>44214</v>
      </c>
      <c r="S470" s="3">
        <v>-1873</v>
      </c>
      <c r="T470" s="5">
        <v>0</v>
      </c>
      <c r="U470" s="2" t="s">
        <v>20</v>
      </c>
      <c r="V470" s="5">
        <v>5749028.7199999997</v>
      </c>
      <c r="W470" s="5">
        <v>5749028.7199999997</v>
      </c>
      <c r="X470" s="5">
        <v>50761788.329999998</v>
      </c>
    </row>
    <row r="471" spans="1:24" outlineLevel="3">
      <c r="A471" s="2" t="s">
        <v>592</v>
      </c>
      <c r="B471" s="3">
        <v>901133208</v>
      </c>
      <c r="C471" s="3">
        <v>0</v>
      </c>
      <c r="D471" s="2" t="s">
        <v>593</v>
      </c>
      <c r="E471" s="2">
        <v>7413300</v>
      </c>
      <c r="F471" s="2" t="s">
        <v>594</v>
      </c>
      <c r="G471" s="2" t="s">
        <v>38</v>
      </c>
      <c r="H471" s="2" t="s">
        <v>28</v>
      </c>
      <c r="I471" s="2" t="s">
        <v>11</v>
      </c>
      <c r="J471" s="2" t="s">
        <v>141</v>
      </c>
      <c r="K471" s="2" t="s">
        <v>138</v>
      </c>
      <c r="L471" s="2" t="s">
        <v>139</v>
      </c>
      <c r="M471" s="2" t="s">
        <v>32</v>
      </c>
      <c r="N471" s="3">
        <v>0</v>
      </c>
      <c r="O471" s="2" t="s">
        <v>33</v>
      </c>
      <c r="P471" s="2" t="s">
        <v>607</v>
      </c>
      <c r="Q471" s="4">
        <v>44179</v>
      </c>
      <c r="R471" s="4">
        <v>44240</v>
      </c>
      <c r="S471" s="3">
        <v>-1848</v>
      </c>
      <c r="T471" s="5">
        <v>0</v>
      </c>
      <c r="U471" s="2" t="s">
        <v>20</v>
      </c>
      <c r="V471" s="5">
        <v>4109943.94</v>
      </c>
      <c r="W471" s="5">
        <v>4109943.94</v>
      </c>
      <c r="X471" s="5">
        <v>54871732.270000003</v>
      </c>
    </row>
    <row r="472" spans="1:24" outlineLevel="3">
      <c r="A472" s="2" t="s">
        <v>592</v>
      </c>
      <c r="B472" s="3">
        <v>901133208</v>
      </c>
      <c r="C472" s="3">
        <v>0</v>
      </c>
      <c r="D472" s="2" t="s">
        <v>593</v>
      </c>
      <c r="E472" s="2">
        <v>7413300</v>
      </c>
      <c r="F472" s="2" t="s">
        <v>594</v>
      </c>
      <c r="G472" s="2" t="s">
        <v>38</v>
      </c>
      <c r="H472" s="2" t="s">
        <v>28</v>
      </c>
      <c r="I472" s="2" t="s">
        <v>11</v>
      </c>
      <c r="J472" s="2" t="s">
        <v>141</v>
      </c>
      <c r="K472" s="2" t="s">
        <v>138</v>
      </c>
      <c r="L472" s="2" t="s">
        <v>139</v>
      </c>
      <c r="M472" s="2" t="s">
        <v>32</v>
      </c>
      <c r="N472" s="3">
        <v>0</v>
      </c>
      <c r="O472" s="2" t="s">
        <v>33</v>
      </c>
      <c r="P472" s="2" t="s">
        <v>608</v>
      </c>
      <c r="Q472" s="4">
        <v>44179</v>
      </c>
      <c r="R472" s="4">
        <v>44240</v>
      </c>
      <c r="S472" s="3">
        <v>-1848</v>
      </c>
      <c r="T472" s="5">
        <v>0</v>
      </c>
      <c r="U472" s="2" t="s">
        <v>20</v>
      </c>
      <c r="V472" s="5">
        <v>3231088</v>
      </c>
      <c r="W472" s="5">
        <v>3231088</v>
      </c>
      <c r="X472" s="5">
        <v>58102820.270000003</v>
      </c>
    </row>
    <row r="473" spans="1:24" outlineLevel="3">
      <c r="A473" s="2" t="s">
        <v>592</v>
      </c>
      <c r="B473" s="3">
        <v>901133208</v>
      </c>
      <c r="C473" s="3">
        <v>0</v>
      </c>
      <c r="D473" s="2" t="s">
        <v>593</v>
      </c>
      <c r="E473" s="2">
        <v>7413300</v>
      </c>
      <c r="F473" s="2" t="s">
        <v>594</v>
      </c>
      <c r="G473" s="2" t="s">
        <v>38</v>
      </c>
      <c r="H473" s="2" t="s">
        <v>28</v>
      </c>
      <c r="I473" s="2" t="s">
        <v>11</v>
      </c>
      <c r="J473" s="2" t="s">
        <v>141</v>
      </c>
      <c r="K473" s="2" t="s">
        <v>138</v>
      </c>
      <c r="L473" s="2" t="s">
        <v>139</v>
      </c>
      <c r="M473" s="2" t="s">
        <v>32</v>
      </c>
      <c r="N473" s="3">
        <v>0</v>
      </c>
      <c r="O473" s="2" t="s">
        <v>33</v>
      </c>
      <c r="P473" s="2" t="s">
        <v>609</v>
      </c>
      <c r="Q473" s="4">
        <v>44221</v>
      </c>
      <c r="R473" s="4">
        <v>44279</v>
      </c>
      <c r="S473" s="3">
        <v>-1807</v>
      </c>
      <c r="T473" s="5">
        <v>0</v>
      </c>
      <c r="U473" s="2" t="s">
        <v>20</v>
      </c>
      <c r="V473" s="5">
        <v>16475433.109999999</v>
      </c>
      <c r="W473" s="5">
        <v>16475433.109999999</v>
      </c>
      <c r="X473" s="5">
        <v>74578253.379999995</v>
      </c>
    </row>
    <row r="474" spans="1:24" outlineLevel="3">
      <c r="A474" s="2" t="s">
        <v>592</v>
      </c>
      <c r="B474" s="3">
        <v>901133208</v>
      </c>
      <c r="C474" s="3">
        <v>0</v>
      </c>
      <c r="D474" s="2" t="s">
        <v>593</v>
      </c>
      <c r="E474" s="2">
        <v>7413300</v>
      </c>
      <c r="F474" s="2" t="s">
        <v>594</v>
      </c>
      <c r="G474" s="2" t="s">
        <v>38</v>
      </c>
      <c r="H474" s="2" t="s">
        <v>28</v>
      </c>
      <c r="I474" s="2" t="s">
        <v>11</v>
      </c>
      <c r="J474" s="2" t="s">
        <v>141</v>
      </c>
      <c r="K474" s="2" t="s">
        <v>138</v>
      </c>
      <c r="L474" s="2" t="s">
        <v>139</v>
      </c>
      <c r="M474" s="2" t="s">
        <v>32</v>
      </c>
      <c r="N474" s="3">
        <v>0</v>
      </c>
      <c r="O474" s="2" t="s">
        <v>33</v>
      </c>
      <c r="P474" s="2" t="s">
        <v>610</v>
      </c>
      <c r="Q474" s="4">
        <v>44224</v>
      </c>
      <c r="R474" s="4">
        <v>44282</v>
      </c>
      <c r="S474" s="3">
        <v>-1804</v>
      </c>
      <c r="T474" s="5">
        <v>0</v>
      </c>
      <c r="U474" s="2" t="s">
        <v>20</v>
      </c>
      <c r="V474" s="5">
        <v>6164915.9000000004</v>
      </c>
      <c r="W474" s="5">
        <v>6164915.9000000004</v>
      </c>
      <c r="X474" s="5">
        <v>80743169.280000001</v>
      </c>
    </row>
    <row r="475" spans="1:24" outlineLevel="3">
      <c r="A475" s="2" t="s">
        <v>592</v>
      </c>
      <c r="B475" s="3">
        <v>901133208</v>
      </c>
      <c r="C475" s="3">
        <v>0</v>
      </c>
      <c r="D475" s="2" t="s">
        <v>593</v>
      </c>
      <c r="E475" s="2">
        <v>7413300</v>
      </c>
      <c r="F475" s="2" t="s">
        <v>594</v>
      </c>
      <c r="G475" s="2" t="s">
        <v>38</v>
      </c>
      <c r="H475" s="2" t="s">
        <v>28</v>
      </c>
      <c r="I475" s="2" t="s">
        <v>11</v>
      </c>
      <c r="J475" s="2" t="s">
        <v>141</v>
      </c>
      <c r="K475" s="2" t="s">
        <v>138</v>
      </c>
      <c r="L475" s="2" t="s">
        <v>139</v>
      </c>
      <c r="M475" s="2" t="s">
        <v>32</v>
      </c>
      <c r="N475" s="3">
        <v>0</v>
      </c>
      <c r="O475" s="2" t="s">
        <v>33</v>
      </c>
      <c r="P475" s="2" t="s">
        <v>611</v>
      </c>
      <c r="Q475" s="4">
        <v>44252</v>
      </c>
      <c r="R475" s="4">
        <v>44310</v>
      </c>
      <c r="S475" s="3">
        <v>-1777</v>
      </c>
      <c r="T475" s="5">
        <v>0</v>
      </c>
      <c r="U475" s="2" t="s">
        <v>20</v>
      </c>
      <c r="V475" s="5">
        <v>7308721.0599999996</v>
      </c>
      <c r="W475" s="5">
        <v>7308721.0599999996</v>
      </c>
      <c r="X475" s="5">
        <v>88051890.340000004</v>
      </c>
    </row>
    <row r="476" spans="1:24" outlineLevel="3">
      <c r="A476" s="2" t="s">
        <v>592</v>
      </c>
      <c r="B476" s="3">
        <v>901133208</v>
      </c>
      <c r="C476" s="3">
        <v>0</v>
      </c>
      <c r="D476" s="2" t="s">
        <v>593</v>
      </c>
      <c r="E476" s="2">
        <v>7413300</v>
      </c>
      <c r="F476" s="2" t="s">
        <v>594</v>
      </c>
      <c r="G476" s="2" t="s">
        <v>38</v>
      </c>
      <c r="H476" s="2" t="s">
        <v>28</v>
      </c>
      <c r="I476" s="2" t="s">
        <v>11</v>
      </c>
      <c r="J476" s="2" t="s">
        <v>141</v>
      </c>
      <c r="K476" s="2" t="s">
        <v>138</v>
      </c>
      <c r="L476" s="2" t="s">
        <v>139</v>
      </c>
      <c r="M476" s="2" t="s">
        <v>32</v>
      </c>
      <c r="N476" s="3">
        <v>0</v>
      </c>
      <c r="O476" s="2" t="s">
        <v>33</v>
      </c>
      <c r="P476" s="2" t="s">
        <v>612</v>
      </c>
      <c r="Q476" s="4">
        <v>44265</v>
      </c>
      <c r="R476" s="4">
        <v>44325</v>
      </c>
      <c r="S476" s="3">
        <v>-1762</v>
      </c>
      <c r="T476" s="5">
        <v>0</v>
      </c>
      <c r="U476" s="2" t="s">
        <v>20</v>
      </c>
      <c r="V476" s="5">
        <v>7350494.4100000001</v>
      </c>
      <c r="W476" s="5">
        <v>7350494.4100000001</v>
      </c>
      <c r="X476" s="5">
        <v>95402384.75</v>
      </c>
    </row>
    <row r="477" spans="1:24" outlineLevel="3">
      <c r="A477" s="2" t="s">
        <v>592</v>
      </c>
      <c r="B477" s="3">
        <v>901133208</v>
      </c>
      <c r="C477" s="3">
        <v>0</v>
      </c>
      <c r="D477" s="2" t="s">
        <v>593</v>
      </c>
      <c r="E477" s="2">
        <v>7413300</v>
      </c>
      <c r="F477" s="2" t="s">
        <v>594</v>
      </c>
      <c r="G477" s="2" t="s">
        <v>38</v>
      </c>
      <c r="H477" s="2" t="s">
        <v>28</v>
      </c>
      <c r="I477" s="2" t="s">
        <v>11</v>
      </c>
      <c r="J477" s="2" t="s">
        <v>141</v>
      </c>
      <c r="K477" s="2" t="s">
        <v>138</v>
      </c>
      <c r="L477" s="2" t="s">
        <v>139</v>
      </c>
      <c r="M477" s="2" t="s">
        <v>32</v>
      </c>
      <c r="N477" s="3">
        <v>0</v>
      </c>
      <c r="O477" s="2" t="s">
        <v>33</v>
      </c>
      <c r="P477" s="2" t="s">
        <v>613</v>
      </c>
      <c r="Q477" s="4">
        <v>44272</v>
      </c>
      <c r="R477" s="4">
        <v>44332</v>
      </c>
      <c r="S477" s="3">
        <v>-1755</v>
      </c>
      <c r="T477" s="5">
        <v>0</v>
      </c>
      <c r="U477" s="2" t="s">
        <v>20</v>
      </c>
      <c r="V477" s="5">
        <v>8623543.0800000001</v>
      </c>
      <c r="W477" s="5">
        <v>8623543.0800000001</v>
      </c>
      <c r="X477" s="5">
        <v>104025927.83</v>
      </c>
    </row>
    <row r="478" spans="1:24" outlineLevel="3">
      <c r="A478" s="2" t="s">
        <v>592</v>
      </c>
      <c r="B478" s="3">
        <v>901133208</v>
      </c>
      <c r="C478" s="3">
        <v>0</v>
      </c>
      <c r="D478" s="2" t="s">
        <v>593</v>
      </c>
      <c r="E478" s="2">
        <v>7413300</v>
      </c>
      <c r="F478" s="2" t="s">
        <v>594</v>
      </c>
      <c r="G478" s="2" t="s">
        <v>38</v>
      </c>
      <c r="H478" s="2" t="s">
        <v>28</v>
      </c>
      <c r="I478" s="2" t="s">
        <v>11</v>
      </c>
      <c r="J478" s="2" t="s">
        <v>141</v>
      </c>
      <c r="K478" s="2" t="s">
        <v>138</v>
      </c>
      <c r="L478" s="2" t="s">
        <v>139</v>
      </c>
      <c r="M478" s="2" t="s">
        <v>32</v>
      </c>
      <c r="N478" s="3">
        <v>0</v>
      </c>
      <c r="O478" s="2" t="s">
        <v>33</v>
      </c>
      <c r="P478" s="2" t="s">
        <v>614</v>
      </c>
      <c r="Q478" s="4">
        <v>44273</v>
      </c>
      <c r="R478" s="4">
        <v>44333</v>
      </c>
      <c r="S478" s="3">
        <v>-1754</v>
      </c>
      <c r="T478" s="5">
        <v>0</v>
      </c>
      <c r="U478" s="2" t="s">
        <v>20</v>
      </c>
      <c r="V478" s="5">
        <v>7045618.1799999997</v>
      </c>
      <c r="W478" s="5">
        <v>7045618.1799999997</v>
      </c>
      <c r="X478" s="5">
        <v>111071546.01000001</v>
      </c>
    </row>
    <row r="479" spans="1:24" outlineLevel="3">
      <c r="A479" s="2" t="s">
        <v>592</v>
      </c>
      <c r="B479" s="3">
        <v>901133208</v>
      </c>
      <c r="C479" s="3">
        <v>0</v>
      </c>
      <c r="D479" s="2" t="s">
        <v>593</v>
      </c>
      <c r="E479" s="2">
        <v>7413300</v>
      </c>
      <c r="F479" s="2" t="s">
        <v>594</v>
      </c>
      <c r="G479" s="2" t="s">
        <v>38</v>
      </c>
      <c r="H479" s="2" t="s">
        <v>28</v>
      </c>
      <c r="I479" s="2" t="s">
        <v>11</v>
      </c>
      <c r="J479" s="2" t="s">
        <v>141</v>
      </c>
      <c r="K479" s="2" t="s">
        <v>138</v>
      </c>
      <c r="L479" s="2" t="s">
        <v>139</v>
      </c>
      <c r="M479" s="2" t="s">
        <v>32</v>
      </c>
      <c r="N479" s="3">
        <v>0</v>
      </c>
      <c r="O479" s="2" t="s">
        <v>33</v>
      </c>
      <c r="P479" s="2" t="s">
        <v>615</v>
      </c>
      <c r="Q479" s="4">
        <v>44298</v>
      </c>
      <c r="R479" s="4">
        <v>44358</v>
      </c>
      <c r="S479" s="3">
        <v>-1730</v>
      </c>
      <c r="T479" s="5">
        <v>0</v>
      </c>
      <c r="U479" s="2" t="s">
        <v>20</v>
      </c>
      <c r="V479" s="5">
        <v>5686484.0899999999</v>
      </c>
      <c r="W479" s="5">
        <v>5686484.0899999999</v>
      </c>
      <c r="X479" s="5">
        <v>116758030.09999999</v>
      </c>
    </row>
    <row r="480" spans="1:24" outlineLevel="3">
      <c r="A480" s="2" t="s">
        <v>592</v>
      </c>
      <c r="B480" s="3">
        <v>901133208</v>
      </c>
      <c r="C480" s="3">
        <v>0</v>
      </c>
      <c r="D480" s="2" t="s">
        <v>593</v>
      </c>
      <c r="E480" s="2">
        <v>7413300</v>
      </c>
      <c r="F480" s="2" t="s">
        <v>594</v>
      </c>
      <c r="G480" s="2" t="s">
        <v>38</v>
      </c>
      <c r="H480" s="2" t="s">
        <v>28</v>
      </c>
      <c r="I480" s="2" t="s">
        <v>11</v>
      </c>
      <c r="J480" s="2" t="s">
        <v>141</v>
      </c>
      <c r="K480" s="2" t="s">
        <v>138</v>
      </c>
      <c r="L480" s="2" t="s">
        <v>139</v>
      </c>
      <c r="M480" s="2" t="s">
        <v>32</v>
      </c>
      <c r="N480" s="3">
        <v>0</v>
      </c>
      <c r="O480" s="2" t="s">
        <v>33</v>
      </c>
      <c r="P480" s="2" t="s">
        <v>616</v>
      </c>
      <c r="Q480" s="4">
        <v>44298</v>
      </c>
      <c r="R480" s="4">
        <v>44358</v>
      </c>
      <c r="S480" s="3">
        <v>-1730</v>
      </c>
      <c r="T480" s="5">
        <v>0</v>
      </c>
      <c r="U480" s="2" t="s">
        <v>20</v>
      </c>
      <c r="V480" s="5">
        <v>6710058.1500000004</v>
      </c>
      <c r="W480" s="5">
        <v>6710058.1500000004</v>
      </c>
      <c r="X480" s="5">
        <v>123468088.25</v>
      </c>
    </row>
    <row r="481" spans="1:24" outlineLevel="3">
      <c r="A481" s="2" t="s">
        <v>592</v>
      </c>
      <c r="B481" s="3">
        <v>901133208</v>
      </c>
      <c r="C481" s="3">
        <v>0</v>
      </c>
      <c r="D481" s="2" t="s">
        <v>593</v>
      </c>
      <c r="E481" s="2">
        <v>7413300</v>
      </c>
      <c r="F481" s="2" t="s">
        <v>594</v>
      </c>
      <c r="G481" s="2" t="s">
        <v>38</v>
      </c>
      <c r="H481" s="2" t="s">
        <v>28</v>
      </c>
      <c r="I481" s="2" t="s">
        <v>11</v>
      </c>
      <c r="J481" s="2" t="s">
        <v>141</v>
      </c>
      <c r="K481" s="2" t="s">
        <v>138</v>
      </c>
      <c r="L481" s="2" t="s">
        <v>139</v>
      </c>
      <c r="M481" s="2" t="s">
        <v>32</v>
      </c>
      <c r="N481" s="3">
        <v>0</v>
      </c>
      <c r="O481" s="2" t="s">
        <v>33</v>
      </c>
      <c r="P481" s="2" t="s">
        <v>617</v>
      </c>
      <c r="Q481" s="4">
        <v>44302</v>
      </c>
      <c r="R481" s="4">
        <v>44362</v>
      </c>
      <c r="S481" s="3">
        <v>-1726</v>
      </c>
      <c r="T481" s="5">
        <v>0</v>
      </c>
      <c r="U481" s="2" t="s">
        <v>20</v>
      </c>
      <c r="V481" s="5">
        <v>1971933.01</v>
      </c>
      <c r="W481" s="5">
        <v>1971933.01</v>
      </c>
      <c r="X481" s="5">
        <v>125440021.26000001</v>
      </c>
    </row>
    <row r="482" spans="1:24" outlineLevel="3">
      <c r="A482" s="2" t="s">
        <v>592</v>
      </c>
      <c r="B482" s="3">
        <v>901133208</v>
      </c>
      <c r="C482" s="3">
        <v>0</v>
      </c>
      <c r="D482" s="2" t="s">
        <v>593</v>
      </c>
      <c r="E482" s="2">
        <v>7413300</v>
      </c>
      <c r="F482" s="2" t="s">
        <v>594</v>
      </c>
      <c r="G482" s="2" t="s">
        <v>38</v>
      </c>
      <c r="H482" s="2" t="s">
        <v>28</v>
      </c>
      <c r="I482" s="2" t="s">
        <v>11</v>
      </c>
      <c r="J482" s="2" t="s">
        <v>141</v>
      </c>
      <c r="K482" s="2" t="s">
        <v>138</v>
      </c>
      <c r="L482" s="2" t="s">
        <v>139</v>
      </c>
      <c r="M482" s="2" t="s">
        <v>32</v>
      </c>
      <c r="N482" s="3">
        <v>0</v>
      </c>
      <c r="O482" s="2" t="s">
        <v>33</v>
      </c>
      <c r="P482" s="2" t="s">
        <v>618</v>
      </c>
      <c r="Q482" s="4">
        <v>44306</v>
      </c>
      <c r="R482" s="4">
        <v>44366</v>
      </c>
      <c r="S482" s="3">
        <v>-1722</v>
      </c>
      <c r="T482" s="5">
        <v>0</v>
      </c>
      <c r="U482" s="2" t="s">
        <v>20</v>
      </c>
      <c r="V482" s="5">
        <v>4746006.6900000004</v>
      </c>
      <c r="W482" s="5">
        <v>4746006.6900000004</v>
      </c>
      <c r="X482" s="5">
        <v>130186027.95</v>
      </c>
    </row>
    <row r="483" spans="1:24" outlineLevel="3">
      <c r="A483" s="2" t="s">
        <v>592</v>
      </c>
      <c r="B483" s="3">
        <v>901133208</v>
      </c>
      <c r="C483" s="3">
        <v>0</v>
      </c>
      <c r="D483" s="2" t="s">
        <v>593</v>
      </c>
      <c r="E483" s="2">
        <v>7413300</v>
      </c>
      <c r="F483" s="2" t="s">
        <v>594</v>
      </c>
      <c r="G483" s="2" t="s">
        <v>38</v>
      </c>
      <c r="H483" s="2" t="s">
        <v>28</v>
      </c>
      <c r="I483" s="2" t="s">
        <v>11</v>
      </c>
      <c r="J483" s="2" t="s">
        <v>141</v>
      </c>
      <c r="K483" s="2" t="s">
        <v>138</v>
      </c>
      <c r="L483" s="2" t="s">
        <v>139</v>
      </c>
      <c r="M483" s="2" t="s">
        <v>32</v>
      </c>
      <c r="N483" s="3">
        <v>0</v>
      </c>
      <c r="O483" s="2" t="s">
        <v>33</v>
      </c>
      <c r="P483" s="2" t="s">
        <v>619</v>
      </c>
      <c r="Q483" s="4">
        <v>44309</v>
      </c>
      <c r="R483" s="4">
        <v>44369</v>
      </c>
      <c r="S483" s="3">
        <v>-1719</v>
      </c>
      <c r="T483" s="5">
        <v>0</v>
      </c>
      <c r="U483" s="2" t="s">
        <v>20</v>
      </c>
      <c r="V483" s="5">
        <v>6788746.6799999997</v>
      </c>
      <c r="W483" s="5">
        <v>6788746.6799999997</v>
      </c>
      <c r="X483" s="5">
        <v>136974774.63</v>
      </c>
    </row>
    <row r="484" spans="1:24" outlineLevel="3">
      <c r="A484" s="2" t="s">
        <v>592</v>
      </c>
      <c r="B484" s="3">
        <v>901133208</v>
      </c>
      <c r="C484" s="3">
        <v>0</v>
      </c>
      <c r="D484" s="2" t="s">
        <v>593</v>
      </c>
      <c r="E484" s="2">
        <v>7413300</v>
      </c>
      <c r="F484" s="2" t="s">
        <v>594</v>
      </c>
      <c r="G484" s="2" t="s">
        <v>38</v>
      </c>
      <c r="H484" s="2" t="s">
        <v>28</v>
      </c>
      <c r="I484" s="2" t="s">
        <v>11</v>
      </c>
      <c r="J484" s="2" t="s">
        <v>141</v>
      </c>
      <c r="K484" s="2" t="s">
        <v>138</v>
      </c>
      <c r="L484" s="2" t="s">
        <v>139</v>
      </c>
      <c r="M484" s="2" t="s">
        <v>32</v>
      </c>
      <c r="N484" s="3">
        <v>0</v>
      </c>
      <c r="O484" s="2" t="s">
        <v>33</v>
      </c>
      <c r="P484" s="2" t="s">
        <v>620</v>
      </c>
      <c r="Q484" s="4">
        <v>44312</v>
      </c>
      <c r="R484" s="4">
        <v>44372</v>
      </c>
      <c r="S484" s="3">
        <v>-1716</v>
      </c>
      <c r="T484" s="5">
        <v>0</v>
      </c>
      <c r="U484" s="2" t="s">
        <v>20</v>
      </c>
      <c r="V484" s="5">
        <v>5608245.5999999996</v>
      </c>
      <c r="W484" s="5">
        <v>5608245.5999999996</v>
      </c>
      <c r="X484" s="5">
        <v>142583020.22999999</v>
      </c>
    </row>
    <row r="485" spans="1:24" outlineLevel="2">
      <c r="M485" s="14" t="s">
        <v>742</v>
      </c>
      <c r="T485" s="5">
        <f>SUBTOTAL(9,T459:T484)</f>
        <v>0</v>
      </c>
      <c r="V485" s="5">
        <f>SUBTOTAL(9,V459:V484)</f>
        <v>142583020.22999999</v>
      </c>
      <c r="W485" s="5">
        <f>SUBTOTAL(9,W459:W484)</f>
        <v>142583020.22999999</v>
      </c>
    </row>
    <row r="486" spans="1:24" outlineLevel="1">
      <c r="A486" s="14" t="s">
        <v>730</v>
      </c>
      <c r="T486" s="5">
        <f>SUBTOTAL(9,T459:T484)</f>
        <v>0</v>
      </c>
      <c r="V486" s="5">
        <f>SUBTOTAL(9,V459:V484)</f>
        <v>142583020.22999999</v>
      </c>
      <c r="W486" s="5">
        <f>SUBTOTAL(9,W459:W484)</f>
        <v>142583020.22999999</v>
      </c>
    </row>
    <row r="487" spans="1:24" outlineLevel="3">
      <c r="A487" s="2" t="s">
        <v>621</v>
      </c>
      <c r="B487" s="3">
        <v>901180690</v>
      </c>
      <c r="C487" s="3">
        <v>0</v>
      </c>
      <c r="D487" s="2" t="s">
        <v>622</v>
      </c>
      <c r="E487" s="2">
        <v>3008476029</v>
      </c>
      <c r="F487" s="2" t="s">
        <v>623</v>
      </c>
      <c r="G487" s="2" t="s">
        <v>73</v>
      </c>
      <c r="H487" s="2" t="s">
        <v>28</v>
      </c>
      <c r="I487" s="2" t="s">
        <v>11</v>
      </c>
      <c r="J487" s="2" t="s">
        <v>59</v>
      </c>
      <c r="K487" s="2" t="s">
        <v>55</v>
      </c>
      <c r="L487" s="2" t="s">
        <v>56</v>
      </c>
      <c r="M487" s="2" t="s">
        <v>32</v>
      </c>
      <c r="N487" s="3">
        <v>0</v>
      </c>
      <c r="O487" s="2" t="s">
        <v>33</v>
      </c>
      <c r="P487" s="2" t="s">
        <v>624</v>
      </c>
      <c r="Q487" s="4">
        <v>46001</v>
      </c>
      <c r="R487" s="4">
        <v>46001</v>
      </c>
      <c r="S487" s="3">
        <v>-111</v>
      </c>
      <c r="T487" s="5">
        <v>0</v>
      </c>
      <c r="U487" s="2" t="s">
        <v>20</v>
      </c>
      <c r="V487" s="5">
        <v>30897844</v>
      </c>
      <c r="W487" s="5">
        <v>30897844</v>
      </c>
      <c r="X487" s="5">
        <v>30897844</v>
      </c>
    </row>
    <row r="488" spans="1:24" outlineLevel="2">
      <c r="M488" s="14" t="s">
        <v>742</v>
      </c>
      <c r="T488" s="5">
        <f>SUBTOTAL(9,T487:T487)</f>
        <v>0</v>
      </c>
      <c r="V488" s="5">
        <f>SUBTOTAL(9,V487:V487)</f>
        <v>30897844</v>
      </c>
      <c r="W488" s="5">
        <f>SUBTOTAL(9,W487:W487)</f>
        <v>30897844</v>
      </c>
    </row>
    <row r="489" spans="1:24" outlineLevel="1">
      <c r="A489" s="14" t="s">
        <v>731</v>
      </c>
      <c r="T489" s="5">
        <f>SUBTOTAL(9,T487:T487)</f>
        <v>0</v>
      </c>
      <c r="V489" s="5">
        <f>SUBTOTAL(9,V487:V487)</f>
        <v>30897844</v>
      </c>
      <c r="W489" s="5">
        <f>SUBTOTAL(9,W487:W487)</f>
        <v>30897844</v>
      </c>
    </row>
    <row r="490" spans="1:24" outlineLevel="3">
      <c r="A490" s="2" t="s">
        <v>625</v>
      </c>
      <c r="B490" s="3">
        <v>901208344</v>
      </c>
      <c r="C490" s="3">
        <v>0</v>
      </c>
      <c r="D490" s="2" t="s">
        <v>626</v>
      </c>
      <c r="E490" s="2">
        <v>2511311</v>
      </c>
      <c r="F490" s="2" t="s">
        <v>627</v>
      </c>
      <c r="G490" s="2" t="s">
        <v>157</v>
      </c>
      <c r="H490" s="2" t="s">
        <v>28</v>
      </c>
      <c r="I490" s="2" t="s">
        <v>11</v>
      </c>
      <c r="J490" s="2" t="s">
        <v>106</v>
      </c>
      <c r="K490" s="2" t="s">
        <v>55</v>
      </c>
      <c r="L490" s="2" t="s">
        <v>56</v>
      </c>
      <c r="M490" s="2" t="s">
        <v>32</v>
      </c>
      <c r="N490" s="3">
        <v>0</v>
      </c>
      <c r="O490" s="2" t="s">
        <v>33</v>
      </c>
      <c r="P490" s="2" t="s">
        <v>628</v>
      </c>
      <c r="Q490" s="4">
        <v>46076</v>
      </c>
      <c r="R490" s="4">
        <v>46103</v>
      </c>
      <c r="S490" s="3">
        <v>-9</v>
      </c>
      <c r="T490" s="5">
        <v>0</v>
      </c>
      <c r="U490" s="2" t="s">
        <v>20</v>
      </c>
      <c r="V490" s="5">
        <v>5380324.1600000001</v>
      </c>
      <c r="W490" s="5">
        <v>5380324.1600000001</v>
      </c>
      <c r="X490" s="5">
        <v>5380324.1600000001</v>
      </c>
    </row>
    <row r="491" spans="1:24" outlineLevel="3">
      <c r="A491" s="2" t="s">
        <v>625</v>
      </c>
      <c r="B491" s="3">
        <v>901208344</v>
      </c>
      <c r="C491" s="3">
        <v>0</v>
      </c>
      <c r="D491" s="2" t="s">
        <v>626</v>
      </c>
      <c r="E491" s="2">
        <v>2511311</v>
      </c>
      <c r="F491" s="2" t="s">
        <v>627</v>
      </c>
      <c r="G491" s="2" t="s">
        <v>157</v>
      </c>
      <c r="H491" s="2" t="s">
        <v>28</v>
      </c>
      <c r="I491" s="2" t="s">
        <v>11</v>
      </c>
      <c r="J491" s="2" t="s">
        <v>106</v>
      </c>
      <c r="K491" s="2" t="s">
        <v>55</v>
      </c>
      <c r="L491" s="2" t="s">
        <v>56</v>
      </c>
      <c r="M491" s="2" t="s">
        <v>32</v>
      </c>
      <c r="N491" s="3">
        <v>0</v>
      </c>
      <c r="O491" s="2" t="s">
        <v>33</v>
      </c>
      <c r="P491" s="2" t="s">
        <v>629</v>
      </c>
      <c r="Q491" s="4">
        <v>46107</v>
      </c>
      <c r="R491" s="4">
        <v>46137</v>
      </c>
      <c r="S491" s="3">
        <v>24</v>
      </c>
      <c r="T491" s="5">
        <v>0</v>
      </c>
      <c r="U491" s="2" t="s">
        <v>58</v>
      </c>
      <c r="V491" s="5">
        <v>3951155.75</v>
      </c>
      <c r="W491" s="5">
        <v>0</v>
      </c>
      <c r="X491" s="5">
        <v>5380324.1600000001</v>
      </c>
    </row>
    <row r="492" spans="1:24" outlineLevel="2">
      <c r="M492" s="14" t="s">
        <v>742</v>
      </c>
      <c r="T492" s="5">
        <f>SUBTOTAL(9,T490:T491)</f>
        <v>0</v>
      </c>
      <c r="V492" s="5">
        <f>SUBTOTAL(9,V490:V491)</f>
        <v>9331479.9100000001</v>
      </c>
      <c r="W492" s="5">
        <f>SUBTOTAL(9,W490:W491)</f>
        <v>5380324.1600000001</v>
      </c>
    </row>
    <row r="493" spans="1:24" outlineLevel="1">
      <c r="A493" s="14" t="s">
        <v>732</v>
      </c>
      <c r="T493" s="5">
        <f>SUBTOTAL(9,T490:T491)</f>
        <v>0</v>
      </c>
      <c r="V493" s="5">
        <f>SUBTOTAL(9,V490:V491)</f>
        <v>9331479.9100000001</v>
      </c>
      <c r="W493" s="5">
        <f>SUBTOTAL(9,W490:W491)</f>
        <v>5380324.1600000001</v>
      </c>
    </row>
    <row r="494" spans="1:24" outlineLevel="3">
      <c r="A494" s="2" t="s">
        <v>630</v>
      </c>
      <c r="B494" s="3">
        <v>901209350</v>
      </c>
      <c r="C494" s="3">
        <v>0</v>
      </c>
      <c r="D494" s="2" t="s">
        <v>631</v>
      </c>
      <c r="E494" s="2">
        <v>3192126263</v>
      </c>
      <c r="F494" s="2" t="s">
        <v>632</v>
      </c>
      <c r="G494" s="2" t="s">
        <v>38</v>
      </c>
      <c r="H494" s="2" t="s">
        <v>28</v>
      </c>
      <c r="I494" s="2" t="s">
        <v>11</v>
      </c>
      <c r="J494" s="2" t="s">
        <v>59</v>
      </c>
      <c r="K494" s="2" t="s">
        <v>138</v>
      </c>
      <c r="L494" s="2" t="s">
        <v>139</v>
      </c>
      <c r="M494" s="2" t="s">
        <v>32</v>
      </c>
      <c r="N494" s="3">
        <v>0</v>
      </c>
      <c r="O494" s="2" t="s">
        <v>33</v>
      </c>
      <c r="P494" s="2" t="s">
        <v>633</v>
      </c>
      <c r="Q494" s="4">
        <v>46078</v>
      </c>
      <c r="R494" s="4">
        <v>46078</v>
      </c>
      <c r="S494" s="3">
        <v>-36</v>
      </c>
      <c r="T494" s="5">
        <v>0</v>
      </c>
      <c r="U494" s="2" t="s">
        <v>20</v>
      </c>
      <c r="V494" s="5">
        <v>-192816.33</v>
      </c>
      <c r="W494" s="5">
        <v>-192816.33</v>
      </c>
      <c r="X494" s="5">
        <v>-192816.33</v>
      </c>
    </row>
    <row r="495" spans="1:24" outlineLevel="3">
      <c r="A495" s="2" t="s">
        <v>630</v>
      </c>
      <c r="B495" s="3">
        <v>901209350</v>
      </c>
      <c r="C495" s="3">
        <v>0</v>
      </c>
      <c r="D495" s="2" t="s">
        <v>631</v>
      </c>
      <c r="E495" s="2">
        <v>3192126263</v>
      </c>
      <c r="F495" s="2" t="s">
        <v>632</v>
      </c>
      <c r="G495" s="2" t="s">
        <v>38</v>
      </c>
      <c r="H495" s="2" t="s">
        <v>28</v>
      </c>
      <c r="I495" s="2" t="s">
        <v>11</v>
      </c>
      <c r="J495" s="2" t="s">
        <v>141</v>
      </c>
      <c r="K495" s="2" t="s">
        <v>138</v>
      </c>
      <c r="L495" s="2" t="s">
        <v>139</v>
      </c>
      <c r="M495" s="2" t="s">
        <v>32</v>
      </c>
      <c r="N495" s="3">
        <v>0</v>
      </c>
      <c r="O495" s="2" t="s">
        <v>33</v>
      </c>
      <c r="P495" s="2" t="s">
        <v>634</v>
      </c>
      <c r="Q495" s="4">
        <v>46091</v>
      </c>
      <c r="R495" s="4">
        <v>46151</v>
      </c>
      <c r="S495" s="3">
        <v>38</v>
      </c>
      <c r="T495" s="5">
        <v>0</v>
      </c>
      <c r="U495" s="2" t="s">
        <v>58</v>
      </c>
      <c r="V495" s="5">
        <v>29545121.710000001</v>
      </c>
      <c r="W495" s="5">
        <v>0</v>
      </c>
      <c r="X495" s="5">
        <v>-192816.33</v>
      </c>
    </row>
    <row r="496" spans="1:24" outlineLevel="3">
      <c r="A496" s="2" t="s">
        <v>630</v>
      </c>
      <c r="B496" s="3">
        <v>901209350</v>
      </c>
      <c r="C496" s="3">
        <v>0</v>
      </c>
      <c r="D496" s="2" t="s">
        <v>631</v>
      </c>
      <c r="E496" s="2">
        <v>3192126263</v>
      </c>
      <c r="F496" s="2" t="s">
        <v>632</v>
      </c>
      <c r="G496" s="2" t="s">
        <v>38</v>
      </c>
      <c r="H496" s="2" t="s">
        <v>28</v>
      </c>
      <c r="I496" s="2" t="s">
        <v>11</v>
      </c>
      <c r="J496" s="2" t="s">
        <v>141</v>
      </c>
      <c r="K496" s="2" t="s">
        <v>138</v>
      </c>
      <c r="L496" s="2" t="s">
        <v>139</v>
      </c>
      <c r="M496" s="2" t="s">
        <v>32</v>
      </c>
      <c r="N496" s="3">
        <v>0</v>
      </c>
      <c r="O496" s="2" t="s">
        <v>33</v>
      </c>
      <c r="P496" s="2" t="s">
        <v>635</v>
      </c>
      <c r="Q496" s="4">
        <v>46093</v>
      </c>
      <c r="R496" s="4">
        <v>46153</v>
      </c>
      <c r="S496" s="3">
        <v>40</v>
      </c>
      <c r="T496" s="5">
        <v>0</v>
      </c>
      <c r="U496" s="2" t="s">
        <v>58</v>
      </c>
      <c r="V496" s="5">
        <v>731121.35</v>
      </c>
      <c r="W496" s="5">
        <v>0</v>
      </c>
      <c r="X496" s="5">
        <v>-192816.33</v>
      </c>
    </row>
    <row r="497" spans="1:24" outlineLevel="3">
      <c r="A497" s="2" t="s">
        <v>630</v>
      </c>
      <c r="B497" s="3">
        <v>901209350</v>
      </c>
      <c r="C497" s="3">
        <v>0</v>
      </c>
      <c r="D497" s="2" t="s">
        <v>631</v>
      </c>
      <c r="E497" s="2">
        <v>3192126263</v>
      </c>
      <c r="F497" s="2" t="s">
        <v>632</v>
      </c>
      <c r="G497" s="2" t="s">
        <v>38</v>
      </c>
      <c r="H497" s="2" t="s">
        <v>28</v>
      </c>
      <c r="I497" s="2" t="s">
        <v>11</v>
      </c>
      <c r="J497" s="2" t="s">
        <v>141</v>
      </c>
      <c r="K497" s="2" t="s">
        <v>138</v>
      </c>
      <c r="L497" s="2" t="s">
        <v>139</v>
      </c>
      <c r="M497" s="2" t="s">
        <v>32</v>
      </c>
      <c r="N497" s="3">
        <v>0</v>
      </c>
      <c r="O497" s="2" t="s">
        <v>33</v>
      </c>
      <c r="P497" s="2" t="s">
        <v>636</v>
      </c>
      <c r="Q497" s="4">
        <v>46097</v>
      </c>
      <c r="R497" s="4">
        <v>46157</v>
      </c>
      <c r="S497" s="3">
        <v>44</v>
      </c>
      <c r="T497" s="5">
        <v>0</v>
      </c>
      <c r="U497" s="2" t="s">
        <v>58</v>
      </c>
      <c r="V497" s="5">
        <v>16076488.35</v>
      </c>
      <c r="W497" s="5">
        <v>0</v>
      </c>
      <c r="X497" s="5">
        <v>-192816.33</v>
      </c>
    </row>
    <row r="498" spans="1:24" outlineLevel="3">
      <c r="A498" s="2" t="s">
        <v>630</v>
      </c>
      <c r="B498" s="3">
        <v>901209350</v>
      </c>
      <c r="C498" s="3">
        <v>0</v>
      </c>
      <c r="D498" s="2" t="s">
        <v>631</v>
      </c>
      <c r="E498" s="2">
        <v>3192126263</v>
      </c>
      <c r="F498" s="2" t="s">
        <v>632</v>
      </c>
      <c r="G498" s="2" t="s">
        <v>38</v>
      </c>
      <c r="H498" s="2" t="s">
        <v>28</v>
      </c>
      <c r="I498" s="2" t="s">
        <v>11</v>
      </c>
      <c r="J498" s="2" t="s">
        <v>141</v>
      </c>
      <c r="K498" s="2" t="s">
        <v>138</v>
      </c>
      <c r="L498" s="2" t="s">
        <v>139</v>
      </c>
      <c r="M498" s="2" t="s">
        <v>32</v>
      </c>
      <c r="N498" s="3">
        <v>0</v>
      </c>
      <c r="O498" s="2" t="s">
        <v>33</v>
      </c>
      <c r="P498" s="2" t="s">
        <v>637</v>
      </c>
      <c r="Q498" s="4">
        <v>46099</v>
      </c>
      <c r="R498" s="4">
        <v>46159</v>
      </c>
      <c r="S498" s="3">
        <v>46</v>
      </c>
      <c r="T498" s="5">
        <v>0</v>
      </c>
      <c r="U498" s="2" t="s">
        <v>58</v>
      </c>
      <c r="V498" s="5">
        <v>23723570.100000001</v>
      </c>
      <c r="W498" s="5">
        <v>0</v>
      </c>
      <c r="X498" s="5">
        <v>-192816.33</v>
      </c>
    </row>
    <row r="499" spans="1:24" outlineLevel="3">
      <c r="A499" s="2" t="s">
        <v>630</v>
      </c>
      <c r="B499" s="3">
        <v>901209350</v>
      </c>
      <c r="C499" s="3">
        <v>0</v>
      </c>
      <c r="D499" s="2" t="s">
        <v>631</v>
      </c>
      <c r="E499" s="2">
        <v>3192126263</v>
      </c>
      <c r="F499" s="2" t="s">
        <v>632</v>
      </c>
      <c r="G499" s="2" t="s">
        <v>38</v>
      </c>
      <c r="H499" s="2" t="s">
        <v>28</v>
      </c>
      <c r="I499" s="2" t="s">
        <v>11</v>
      </c>
      <c r="J499" s="2" t="s">
        <v>141</v>
      </c>
      <c r="K499" s="2" t="s">
        <v>138</v>
      </c>
      <c r="L499" s="2" t="s">
        <v>139</v>
      </c>
      <c r="M499" s="2" t="s">
        <v>32</v>
      </c>
      <c r="N499" s="3">
        <v>0</v>
      </c>
      <c r="O499" s="2" t="s">
        <v>33</v>
      </c>
      <c r="P499" s="2" t="s">
        <v>638</v>
      </c>
      <c r="Q499" s="4">
        <v>46105</v>
      </c>
      <c r="R499" s="4">
        <v>46165</v>
      </c>
      <c r="S499" s="3">
        <v>52</v>
      </c>
      <c r="T499" s="5">
        <v>0</v>
      </c>
      <c r="U499" s="2" t="s">
        <v>58</v>
      </c>
      <c r="V499" s="5">
        <v>517940.36</v>
      </c>
      <c r="W499" s="5">
        <v>0</v>
      </c>
      <c r="X499" s="5">
        <v>-192816.33</v>
      </c>
    </row>
    <row r="500" spans="1:24" outlineLevel="3">
      <c r="A500" s="2" t="s">
        <v>630</v>
      </c>
      <c r="B500" s="3">
        <v>901209350</v>
      </c>
      <c r="C500" s="3">
        <v>0</v>
      </c>
      <c r="D500" s="2" t="s">
        <v>631</v>
      </c>
      <c r="E500" s="2">
        <v>3192126263</v>
      </c>
      <c r="F500" s="2" t="s">
        <v>632</v>
      </c>
      <c r="G500" s="2" t="s">
        <v>38</v>
      </c>
      <c r="H500" s="2" t="s">
        <v>28</v>
      </c>
      <c r="I500" s="2" t="s">
        <v>11</v>
      </c>
      <c r="J500" s="2" t="s">
        <v>141</v>
      </c>
      <c r="K500" s="2" t="s">
        <v>138</v>
      </c>
      <c r="L500" s="2" t="s">
        <v>139</v>
      </c>
      <c r="M500" s="2" t="s">
        <v>32</v>
      </c>
      <c r="N500" s="3">
        <v>0</v>
      </c>
      <c r="O500" s="2" t="s">
        <v>33</v>
      </c>
      <c r="P500" s="2" t="s">
        <v>639</v>
      </c>
      <c r="Q500" s="4">
        <v>46107</v>
      </c>
      <c r="R500" s="4">
        <v>46167</v>
      </c>
      <c r="S500" s="3">
        <v>54</v>
      </c>
      <c r="T500" s="5">
        <v>0</v>
      </c>
      <c r="U500" s="2" t="s">
        <v>58</v>
      </c>
      <c r="V500" s="5">
        <v>24944301.66</v>
      </c>
      <c r="W500" s="5">
        <v>0</v>
      </c>
      <c r="X500" s="5">
        <v>-192816.33</v>
      </c>
    </row>
    <row r="501" spans="1:24" outlineLevel="3">
      <c r="A501" s="2" t="s">
        <v>630</v>
      </c>
      <c r="B501" s="3">
        <v>901209350</v>
      </c>
      <c r="C501" s="3">
        <v>0</v>
      </c>
      <c r="D501" s="2" t="s">
        <v>631</v>
      </c>
      <c r="E501" s="2">
        <v>3192126263</v>
      </c>
      <c r="F501" s="2" t="s">
        <v>632</v>
      </c>
      <c r="G501" s="2" t="s">
        <v>38</v>
      </c>
      <c r="H501" s="2" t="s">
        <v>28</v>
      </c>
      <c r="I501" s="2" t="s">
        <v>11</v>
      </c>
      <c r="J501" s="2" t="s">
        <v>141</v>
      </c>
      <c r="K501" s="2" t="s">
        <v>138</v>
      </c>
      <c r="L501" s="2" t="s">
        <v>139</v>
      </c>
      <c r="M501" s="2" t="s">
        <v>32</v>
      </c>
      <c r="N501" s="3">
        <v>0</v>
      </c>
      <c r="O501" s="2" t="s">
        <v>33</v>
      </c>
      <c r="P501" s="2" t="s">
        <v>640</v>
      </c>
      <c r="Q501" s="4">
        <v>46111</v>
      </c>
      <c r="R501" s="4">
        <v>46171</v>
      </c>
      <c r="S501" s="3">
        <v>58</v>
      </c>
      <c r="T501" s="5">
        <v>0</v>
      </c>
      <c r="U501" s="2" t="s">
        <v>58</v>
      </c>
      <c r="V501" s="5">
        <v>2457939.42</v>
      </c>
      <c r="W501" s="5">
        <v>0</v>
      </c>
      <c r="X501" s="5">
        <v>-192816.33</v>
      </c>
    </row>
    <row r="502" spans="1:24" outlineLevel="2">
      <c r="M502" s="14" t="s">
        <v>742</v>
      </c>
      <c r="T502" s="5">
        <f>SUBTOTAL(9,T494:T501)</f>
        <v>0</v>
      </c>
      <c r="V502" s="5">
        <f>SUBTOTAL(9,V494:V501)</f>
        <v>97803666.620000005</v>
      </c>
      <c r="W502" s="5">
        <f>SUBTOTAL(9,W494:W501)</f>
        <v>-192816.33</v>
      </c>
    </row>
    <row r="503" spans="1:24" outlineLevel="1">
      <c r="A503" s="14" t="s">
        <v>733</v>
      </c>
      <c r="T503" s="5">
        <f>SUBTOTAL(9,T494:T501)</f>
        <v>0</v>
      </c>
      <c r="V503" s="5">
        <f>SUBTOTAL(9,V494:V501)</f>
        <v>97803666.620000005</v>
      </c>
      <c r="W503" s="5">
        <f>SUBTOTAL(9,W494:W501)</f>
        <v>-192816.33</v>
      </c>
    </row>
    <row r="504" spans="1:24" outlineLevel="3">
      <c r="A504" s="2" t="s">
        <v>641</v>
      </c>
      <c r="B504" s="3">
        <v>901260145</v>
      </c>
      <c r="C504" s="3">
        <v>0</v>
      </c>
      <c r="D504" s="2" t="s">
        <v>642</v>
      </c>
      <c r="E504" s="2">
        <v>3176176143</v>
      </c>
      <c r="F504" s="2" t="s">
        <v>643</v>
      </c>
      <c r="G504" s="2" t="s">
        <v>644</v>
      </c>
      <c r="H504" s="2" t="s">
        <v>28</v>
      </c>
      <c r="I504" s="2" t="s">
        <v>11</v>
      </c>
      <c r="J504" s="2" t="s">
        <v>59</v>
      </c>
      <c r="K504" s="2" t="s">
        <v>47</v>
      </c>
      <c r="L504" s="2" t="s">
        <v>48</v>
      </c>
      <c r="M504" s="2" t="s">
        <v>32</v>
      </c>
      <c r="N504" s="3">
        <v>0</v>
      </c>
      <c r="O504" s="2" t="s">
        <v>33</v>
      </c>
      <c r="P504" s="2" t="s">
        <v>645</v>
      </c>
      <c r="Q504" s="4">
        <v>46078</v>
      </c>
      <c r="R504" s="4">
        <v>46106</v>
      </c>
      <c r="S504" s="3">
        <v>-6</v>
      </c>
      <c r="T504" s="5">
        <v>0</v>
      </c>
      <c r="U504" s="2" t="s">
        <v>20</v>
      </c>
      <c r="V504" s="5">
        <v>21198310.370000001</v>
      </c>
      <c r="W504" s="5">
        <v>21198310.370000001</v>
      </c>
      <c r="X504" s="5">
        <v>21198310.370000001</v>
      </c>
    </row>
    <row r="505" spans="1:24" outlineLevel="3">
      <c r="A505" s="2" t="s">
        <v>641</v>
      </c>
      <c r="B505" s="3">
        <v>901260145</v>
      </c>
      <c r="C505" s="3">
        <v>0</v>
      </c>
      <c r="D505" s="2" t="s">
        <v>642</v>
      </c>
      <c r="E505" s="2">
        <v>3176176143</v>
      </c>
      <c r="F505" s="2" t="s">
        <v>643</v>
      </c>
      <c r="G505" s="2" t="s">
        <v>644</v>
      </c>
      <c r="H505" s="2" t="s">
        <v>28</v>
      </c>
      <c r="I505" s="2" t="s">
        <v>11</v>
      </c>
      <c r="J505" s="2" t="s">
        <v>67</v>
      </c>
      <c r="K505" s="2" t="s">
        <v>47</v>
      </c>
      <c r="L505" s="2" t="s">
        <v>48</v>
      </c>
      <c r="M505" s="2" t="s">
        <v>32</v>
      </c>
      <c r="N505" s="3">
        <v>0</v>
      </c>
      <c r="O505" s="2" t="s">
        <v>33</v>
      </c>
      <c r="P505" s="2" t="s">
        <v>646</v>
      </c>
      <c r="Q505" s="4">
        <v>46090</v>
      </c>
      <c r="R505" s="4">
        <v>46121</v>
      </c>
      <c r="S505" s="3">
        <v>8</v>
      </c>
      <c r="T505" s="5">
        <v>0</v>
      </c>
      <c r="U505" s="2" t="s">
        <v>58</v>
      </c>
      <c r="V505" s="5">
        <v>11546460.619999999</v>
      </c>
      <c r="W505" s="5">
        <v>0</v>
      </c>
      <c r="X505" s="5">
        <v>21198310.370000001</v>
      </c>
    </row>
    <row r="506" spans="1:24" outlineLevel="3">
      <c r="A506" s="2" t="s">
        <v>641</v>
      </c>
      <c r="B506" s="3">
        <v>901260145</v>
      </c>
      <c r="C506" s="3">
        <v>0</v>
      </c>
      <c r="D506" s="2" t="s">
        <v>642</v>
      </c>
      <c r="E506" s="2">
        <v>3176176143</v>
      </c>
      <c r="F506" s="2" t="s">
        <v>643</v>
      </c>
      <c r="G506" s="2" t="s">
        <v>644</v>
      </c>
      <c r="H506" s="2" t="s">
        <v>28</v>
      </c>
      <c r="I506" s="2" t="s">
        <v>11</v>
      </c>
      <c r="J506" s="2" t="s">
        <v>67</v>
      </c>
      <c r="K506" s="2" t="s">
        <v>47</v>
      </c>
      <c r="L506" s="2" t="s">
        <v>48</v>
      </c>
      <c r="M506" s="2" t="s">
        <v>32</v>
      </c>
      <c r="N506" s="3">
        <v>0</v>
      </c>
      <c r="O506" s="2" t="s">
        <v>33</v>
      </c>
      <c r="P506" s="2" t="s">
        <v>647</v>
      </c>
      <c r="Q506" s="4">
        <v>46105</v>
      </c>
      <c r="R506" s="4">
        <v>46136</v>
      </c>
      <c r="S506" s="3">
        <v>23</v>
      </c>
      <c r="T506" s="5">
        <v>0</v>
      </c>
      <c r="U506" s="2" t="s">
        <v>58</v>
      </c>
      <c r="V506" s="5">
        <v>3517659.25</v>
      </c>
      <c r="W506" s="5">
        <v>0</v>
      </c>
      <c r="X506" s="5">
        <v>21198310.370000001</v>
      </c>
    </row>
    <row r="507" spans="1:24" outlineLevel="2">
      <c r="M507" s="14" t="s">
        <v>742</v>
      </c>
      <c r="T507" s="5">
        <f>SUBTOTAL(9,T504:T506)</f>
        <v>0</v>
      </c>
      <c r="V507" s="5">
        <f>SUBTOTAL(9,V504:V506)</f>
        <v>36262430.240000002</v>
      </c>
      <c r="W507" s="5">
        <f>SUBTOTAL(9,W504:W506)</f>
        <v>21198310.370000001</v>
      </c>
    </row>
    <row r="508" spans="1:24" outlineLevel="1">
      <c r="A508" s="14" t="s">
        <v>734</v>
      </c>
      <c r="T508" s="5">
        <f>SUBTOTAL(9,T504:T506)</f>
        <v>0</v>
      </c>
      <c r="V508" s="5">
        <f>SUBTOTAL(9,V504:V506)</f>
        <v>36262430.240000002</v>
      </c>
      <c r="W508" s="5">
        <f>SUBTOTAL(9,W504:W506)</f>
        <v>21198310.370000001</v>
      </c>
    </row>
    <row r="509" spans="1:24" outlineLevel="3">
      <c r="A509" s="2" t="s">
        <v>648</v>
      </c>
      <c r="B509" s="3">
        <v>901338950</v>
      </c>
      <c r="C509" s="3">
        <v>0</v>
      </c>
      <c r="D509" s="2" t="s">
        <v>649</v>
      </c>
      <c r="E509" s="2">
        <v>3205428335</v>
      </c>
      <c r="F509" s="2" t="s">
        <v>650</v>
      </c>
      <c r="G509" s="2" t="s">
        <v>38</v>
      </c>
      <c r="H509" s="2" t="s">
        <v>28</v>
      </c>
      <c r="I509" s="2" t="s">
        <v>11</v>
      </c>
      <c r="J509" s="2" t="s">
        <v>106</v>
      </c>
      <c r="K509" s="2" t="s">
        <v>138</v>
      </c>
      <c r="L509" s="2" t="s">
        <v>139</v>
      </c>
      <c r="M509" s="2" t="s">
        <v>32</v>
      </c>
      <c r="N509" s="3">
        <v>0</v>
      </c>
      <c r="O509" s="2" t="s">
        <v>33</v>
      </c>
      <c r="P509" s="2" t="s">
        <v>651</v>
      </c>
      <c r="Q509" s="4">
        <v>46065</v>
      </c>
      <c r="R509" s="4">
        <v>46092</v>
      </c>
      <c r="S509" s="3">
        <v>-20</v>
      </c>
      <c r="T509" s="5">
        <v>0</v>
      </c>
      <c r="U509" s="2" t="s">
        <v>20</v>
      </c>
      <c r="V509" s="5">
        <v>1488900.35</v>
      </c>
      <c r="W509" s="5">
        <v>1488900.35</v>
      </c>
      <c r="X509" s="5">
        <v>1488900.35</v>
      </c>
    </row>
    <row r="510" spans="1:24" outlineLevel="3">
      <c r="A510" s="2" t="s">
        <v>648</v>
      </c>
      <c r="B510" s="3">
        <v>901338950</v>
      </c>
      <c r="C510" s="3">
        <v>0</v>
      </c>
      <c r="D510" s="2" t="s">
        <v>649</v>
      </c>
      <c r="E510" s="2">
        <v>3205428335</v>
      </c>
      <c r="F510" s="2" t="s">
        <v>650</v>
      </c>
      <c r="G510" s="2" t="s">
        <v>38</v>
      </c>
      <c r="H510" s="2" t="s">
        <v>28</v>
      </c>
      <c r="I510" s="2" t="s">
        <v>11</v>
      </c>
      <c r="J510" s="2" t="s">
        <v>106</v>
      </c>
      <c r="K510" s="2" t="s">
        <v>138</v>
      </c>
      <c r="L510" s="2" t="s">
        <v>139</v>
      </c>
      <c r="M510" s="2" t="s">
        <v>32</v>
      </c>
      <c r="N510" s="3">
        <v>0</v>
      </c>
      <c r="O510" s="2" t="s">
        <v>33</v>
      </c>
      <c r="P510" s="2" t="s">
        <v>652</v>
      </c>
      <c r="Q510" s="4">
        <v>46086</v>
      </c>
      <c r="R510" s="4">
        <v>46116</v>
      </c>
      <c r="S510" s="3">
        <v>3</v>
      </c>
      <c r="T510" s="5">
        <v>0</v>
      </c>
      <c r="U510" s="2" t="s">
        <v>58</v>
      </c>
      <c r="V510" s="5">
        <v>2502101.46</v>
      </c>
      <c r="W510" s="5">
        <v>0</v>
      </c>
      <c r="X510" s="5">
        <v>1488900.35</v>
      </c>
    </row>
    <row r="511" spans="1:24" outlineLevel="3">
      <c r="A511" s="2" t="s">
        <v>648</v>
      </c>
      <c r="B511" s="3">
        <v>901338950</v>
      </c>
      <c r="C511" s="3">
        <v>0</v>
      </c>
      <c r="D511" s="2" t="s">
        <v>649</v>
      </c>
      <c r="E511" s="2">
        <v>3205428335</v>
      </c>
      <c r="F511" s="2" t="s">
        <v>650</v>
      </c>
      <c r="G511" s="2" t="s">
        <v>38</v>
      </c>
      <c r="H511" s="2" t="s">
        <v>28</v>
      </c>
      <c r="I511" s="2" t="s">
        <v>11</v>
      </c>
      <c r="J511" s="2" t="s">
        <v>106</v>
      </c>
      <c r="K511" s="2" t="s">
        <v>138</v>
      </c>
      <c r="L511" s="2" t="s">
        <v>139</v>
      </c>
      <c r="M511" s="2" t="s">
        <v>32</v>
      </c>
      <c r="N511" s="3">
        <v>0</v>
      </c>
      <c r="O511" s="2" t="s">
        <v>33</v>
      </c>
      <c r="P511" s="2" t="s">
        <v>653</v>
      </c>
      <c r="Q511" s="4">
        <v>46100</v>
      </c>
      <c r="R511" s="4">
        <v>46130</v>
      </c>
      <c r="S511" s="3">
        <v>17</v>
      </c>
      <c r="T511" s="5">
        <v>0</v>
      </c>
      <c r="U511" s="2" t="s">
        <v>58</v>
      </c>
      <c r="V511" s="5">
        <v>627154.18000000005</v>
      </c>
      <c r="W511" s="5">
        <v>0</v>
      </c>
      <c r="X511" s="5">
        <v>1488900.35</v>
      </c>
    </row>
    <row r="512" spans="1:24" outlineLevel="2">
      <c r="M512" s="14" t="s">
        <v>742</v>
      </c>
      <c r="T512" s="5">
        <f>SUBTOTAL(9,T509:T511)</f>
        <v>0</v>
      </c>
      <c r="V512" s="5">
        <f>SUBTOTAL(9,V509:V511)</f>
        <v>4618155.99</v>
      </c>
      <c r="W512" s="5">
        <f>SUBTOTAL(9,W509:W511)</f>
        <v>1488900.35</v>
      </c>
    </row>
    <row r="513" spans="1:24" outlineLevel="1">
      <c r="A513" s="14" t="s">
        <v>735</v>
      </c>
      <c r="T513" s="5">
        <f>SUBTOTAL(9,T509:T511)</f>
        <v>0</v>
      </c>
      <c r="V513" s="5">
        <f>SUBTOTAL(9,V509:V511)</f>
        <v>4618155.99</v>
      </c>
      <c r="W513" s="5">
        <f>SUBTOTAL(9,W509:W511)</f>
        <v>1488900.35</v>
      </c>
    </row>
    <row r="514" spans="1:24" outlineLevel="3">
      <c r="A514" s="2" t="s">
        <v>654</v>
      </c>
      <c r="B514" s="3">
        <v>901390015</v>
      </c>
      <c r="C514" s="3">
        <v>0</v>
      </c>
      <c r="D514" s="2" t="s">
        <v>655</v>
      </c>
      <c r="E514" s="2">
        <v>3004945268</v>
      </c>
      <c r="F514" s="2" t="s">
        <v>656</v>
      </c>
      <c r="G514" s="2" t="s">
        <v>657</v>
      </c>
      <c r="H514" s="2" t="s">
        <v>28</v>
      </c>
      <c r="I514" s="2" t="s">
        <v>11</v>
      </c>
      <c r="J514" s="2" t="s">
        <v>54</v>
      </c>
      <c r="K514" s="2" t="s">
        <v>55</v>
      </c>
      <c r="L514" s="2" t="s">
        <v>56</v>
      </c>
      <c r="M514" s="2" t="s">
        <v>32</v>
      </c>
      <c r="N514" s="3">
        <v>0</v>
      </c>
      <c r="O514" s="2" t="s">
        <v>33</v>
      </c>
      <c r="P514" s="2" t="s">
        <v>658</v>
      </c>
      <c r="Q514" s="4">
        <v>46093</v>
      </c>
      <c r="R514" s="4">
        <v>46123</v>
      </c>
      <c r="S514" s="3">
        <v>10</v>
      </c>
      <c r="T514" s="5">
        <v>0</v>
      </c>
      <c r="U514" s="2" t="s">
        <v>58</v>
      </c>
      <c r="V514" s="5">
        <v>20530457.149999999</v>
      </c>
      <c r="W514" s="5">
        <v>0</v>
      </c>
      <c r="X514" s="5">
        <v>0</v>
      </c>
    </row>
    <row r="515" spans="1:24" outlineLevel="2">
      <c r="M515" s="14" t="s">
        <v>742</v>
      </c>
      <c r="T515" s="5">
        <f>SUBTOTAL(9,T514:T514)</f>
        <v>0</v>
      </c>
      <c r="V515" s="5">
        <f>SUBTOTAL(9,V514:V514)</f>
        <v>20530457.149999999</v>
      </c>
      <c r="W515" s="5">
        <f>SUBTOTAL(9,W514:W514)</f>
        <v>0</v>
      </c>
    </row>
    <row r="516" spans="1:24" outlineLevel="1">
      <c r="A516" s="14" t="s">
        <v>736</v>
      </c>
      <c r="T516" s="5">
        <f>SUBTOTAL(9,T514:T514)</f>
        <v>0</v>
      </c>
      <c r="V516" s="5">
        <f>SUBTOTAL(9,V514:V514)</f>
        <v>20530457.149999999</v>
      </c>
      <c r="W516" s="5">
        <f>SUBTOTAL(9,W514:W514)</f>
        <v>0</v>
      </c>
    </row>
    <row r="517" spans="1:24" outlineLevel="3">
      <c r="A517" s="2" t="s">
        <v>659</v>
      </c>
      <c r="B517" s="3">
        <v>901415267</v>
      </c>
      <c r="C517" s="3">
        <v>0</v>
      </c>
      <c r="D517" s="2" t="s">
        <v>660</v>
      </c>
      <c r="E517" s="2">
        <v>3719272</v>
      </c>
      <c r="F517" s="2" t="s">
        <v>661</v>
      </c>
      <c r="G517" s="2" t="s">
        <v>38</v>
      </c>
      <c r="H517" s="2" t="s">
        <v>28</v>
      </c>
      <c r="I517" s="2" t="s">
        <v>11</v>
      </c>
      <c r="J517" s="2" t="s">
        <v>59</v>
      </c>
      <c r="K517" s="2" t="s">
        <v>256</v>
      </c>
      <c r="L517" s="2" t="s">
        <v>257</v>
      </c>
      <c r="M517" s="2" t="s">
        <v>32</v>
      </c>
      <c r="N517" s="3">
        <v>0</v>
      </c>
      <c r="O517" s="2" t="s">
        <v>33</v>
      </c>
      <c r="P517" s="2" t="s">
        <v>662</v>
      </c>
      <c r="Q517" s="4">
        <v>45821</v>
      </c>
      <c r="R517" s="4">
        <v>45821</v>
      </c>
      <c r="S517" s="3">
        <v>-288</v>
      </c>
      <c r="T517" s="5">
        <v>0</v>
      </c>
      <c r="U517" s="2" t="s">
        <v>20</v>
      </c>
      <c r="V517" s="5">
        <v>-212622.13</v>
      </c>
      <c r="W517" s="5">
        <v>-212622.13</v>
      </c>
      <c r="X517" s="5">
        <v>-212622.13</v>
      </c>
    </row>
    <row r="518" spans="1:24" outlineLevel="2">
      <c r="M518" s="14" t="s">
        <v>742</v>
      </c>
      <c r="T518" s="5">
        <f>SUBTOTAL(9,T517:T517)</f>
        <v>0</v>
      </c>
      <c r="V518" s="5">
        <f>SUBTOTAL(9,V517:V517)</f>
        <v>-212622.13</v>
      </c>
      <c r="W518" s="5">
        <f>SUBTOTAL(9,W517:W517)</f>
        <v>-212622.13</v>
      </c>
    </row>
    <row r="519" spans="1:24" outlineLevel="1">
      <c r="A519" s="14" t="s">
        <v>737</v>
      </c>
      <c r="T519" s="5">
        <f>SUBTOTAL(9,T517:T517)</f>
        <v>0</v>
      </c>
      <c r="V519" s="5">
        <f>SUBTOTAL(9,V517:V517)</f>
        <v>-212622.13</v>
      </c>
      <c r="W519" s="5">
        <f>SUBTOTAL(9,W517:W517)</f>
        <v>-212622.13</v>
      </c>
    </row>
    <row r="520" spans="1:24" outlineLevel="3">
      <c r="A520" s="2" t="s">
        <v>663</v>
      </c>
      <c r="B520" s="3">
        <v>901440947</v>
      </c>
      <c r="C520" s="3">
        <v>0</v>
      </c>
      <c r="D520" s="2" t="s">
        <v>664</v>
      </c>
      <c r="E520" s="2">
        <v>4086902</v>
      </c>
      <c r="F520" s="2" t="s">
        <v>665</v>
      </c>
      <c r="G520" s="2" t="s">
        <v>157</v>
      </c>
      <c r="H520" s="2" t="s">
        <v>28</v>
      </c>
      <c r="I520" s="2" t="s">
        <v>11</v>
      </c>
      <c r="J520" s="2" t="s">
        <v>29</v>
      </c>
      <c r="K520" s="2" t="s">
        <v>30</v>
      </c>
      <c r="L520" s="2" t="s">
        <v>31</v>
      </c>
      <c r="M520" s="2" t="s">
        <v>32</v>
      </c>
      <c r="N520" s="3">
        <v>0</v>
      </c>
      <c r="O520" s="2" t="s">
        <v>33</v>
      </c>
      <c r="P520" s="2" t="s">
        <v>666</v>
      </c>
      <c r="Q520" s="4">
        <v>44284</v>
      </c>
      <c r="R520" s="4">
        <v>44316</v>
      </c>
      <c r="S520" s="3">
        <v>-1771</v>
      </c>
      <c r="T520" s="5">
        <v>0</v>
      </c>
      <c r="U520" s="2" t="s">
        <v>20</v>
      </c>
      <c r="V520" s="5">
        <v>1536122.4</v>
      </c>
      <c r="W520" s="5">
        <v>1536122.4</v>
      </c>
      <c r="X520" s="5">
        <v>1536122.4</v>
      </c>
    </row>
    <row r="521" spans="1:24" outlineLevel="3">
      <c r="A521" s="2" t="s">
        <v>663</v>
      </c>
      <c r="B521" s="3">
        <v>901440947</v>
      </c>
      <c r="C521" s="3">
        <v>0</v>
      </c>
      <c r="D521" s="2" t="s">
        <v>664</v>
      </c>
      <c r="E521" s="2">
        <v>4086902</v>
      </c>
      <c r="F521" s="2" t="s">
        <v>665</v>
      </c>
      <c r="G521" s="2" t="s">
        <v>157</v>
      </c>
      <c r="H521" s="2" t="s">
        <v>28</v>
      </c>
      <c r="I521" s="2" t="s">
        <v>11</v>
      </c>
      <c r="J521" s="2" t="s">
        <v>29</v>
      </c>
      <c r="K521" s="2" t="s">
        <v>30</v>
      </c>
      <c r="L521" s="2" t="s">
        <v>31</v>
      </c>
      <c r="M521" s="2" t="s">
        <v>32</v>
      </c>
      <c r="N521" s="3">
        <v>0</v>
      </c>
      <c r="O521" s="2" t="s">
        <v>33</v>
      </c>
      <c r="P521" s="2" t="s">
        <v>667</v>
      </c>
      <c r="Q521" s="4">
        <v>44284</v>
      </c>
      <c r="R521" s="4">
        <v>44320</v>
      </c>
      <c r="S521" s="3">
        <v>-1767</v>
      </c>
      <c r="T521" s="5">
        <v>0</v>
      </c>
      <c r="U521" s="2" t="s">
        <v>20</v>
      </c>
      <c r="V521" s="5">
        <v>939612.1</v>
      </c>
      <c r="W521" s="5">
        <v>939612.1</v>
      </c>
      <c r="X521" s="5">
        <v>2475734.5</v>
      </c>
    </row>
    <row r="522" spans="1:24" outlineLevel="3">
      <c r="A522" s="2" t="s">
        <v>663</v>
      </c>
      <c r="B522" s="3">
        <v>901440947</v>
      </c>
      <c r="C522" s="3">
        <v>0</v>
      </c>
      <c r="D522" s="2" t="s">
        <v>664</v>
      </c>
      <c r="E522" s="2">
        <v>4086902</v>
      </c>
      <c r="F522" s="2" t="s">
        <v>665</v>
      </c>
      <c r="G522" s="2" t="s">
        <v>157</v>
      </c>
      <c r="H522" s="2" t="s">
        <v>28</v>
      </c>
      <c r="I522" s="2" t="s">
        <v>11</v>
      </c>
      <c r="J522" s="2" t="s">
        <v>29</v>
      </c>
      <c r="K522" s="2" t="s">
        <v>30</v>
      </c>
      <c r="L522" s="2" t="s">
        <v>31</v>
      </c>
      <c r="M522" s="2" t="s">
        <v>32</v>
      </c>
      <c r="N522" s="3">
        <v>0</v>
      </c>
      <c r="O522" s="2" t="s">
        <v>33</v>
      </c>
      <c r="P522" s="2" t="s">
        <v>668</v>
      </c>
      <c r="Q522" s="4">
        <v>44284</v>
      </c>
      <c r="R522" s="4">
        <v>44344</v>
      </c>
      <c r="S522" s="3">
        <v>-1743</v>
      </c>
      <c r="T522" s="5">
        <v>0</v>
      </c>
      <c r="U522" s="2" t="s">
        <v>20</v>
      </c>
      <c r="V522" s="5">
        <v>784543.2</v>
      </c>
      <c r="W522" s="5">
        <v>784543.2</v>
      </c>
      <c r="X522" s="5">
        <v>3260277.7</v>
      </c>
    </row>
    <row r="523" spans="1:24" outlineLevel="2">
      <c r="M523" s="14" t="s">
        <v>742</v>
      </c>
      <c r="T523" s="5">
        <f>SUBTOTAL(9,T520:T522)</f>
        <v>0</v>
      </c>
      <c r="V523" s="5">
        <f>SUBTOTAL(9,V520:V522)</f>
        <v>3260277.7</v>
      </c>
      <c r="W523" s="5">
        <f>SUBTOTAL(9,W520:W522)</f>
        <v>3260277.7</v>
      </c>
    </row>
    <row r="524" spans="1:24" outlineLevel="1">
      <c r="A524" s="14" t="s">
        <v>738</v>
      </c>
      <c r="T524" s="5">
        <f>SUBTOTAL(9,T520:T522)</f>
        <v>0</v>
      </c>
      <c r="V524" s="5">
        <f>SUBTOTAL(9,V520:V522)</f>
        <v>3260277.7</v>
      </c>
      <c r="W524" s="5">
        <f>SUBTOTAL(9,W520:W522)</f>
        <v>3260277.7</v>
      </c>
    </row>
    <row r="525" spans="1:24" outlineLevel="3">
      <c r="A525" s="2" t="s">
        <v>669</v>
      </c>
      <c r="B525" s="3">
        <v>901493654</v>
      </c>
      <c r="C525" s="3">
        <v>0</v>
      </c>
      <c r="D525" s="2" t="s">
        <v>670</v>
      </c>
      <c r="E525" s="2">
        <v>3153517584</v>
      </c>
      <c r="F525" s="2" t="s">
        <v>671</v>
      </c>
      <c r="G525" s="2" t="s">
        <v>38</v>
      </c>
      <c r="H525" s="2" t="s">
        <v>28</v>
      </c>
      <c r="I525" s="2" t="s">
        <v>11</v>
      </c>
      <c r="J525" s="2" t="s">
        <v>59</v>
      </c>
      <c r="K525" s="2" t="s">
        <v>269</v>
      </c>
      <c r="L525" s="2" t="s">
        <v>270</v>
      </c>
      <c r="M525" s="2" t="s">
        <v>32</v>
      </c>
      <c r="N525" s="3">
        <v>0</v>
      </c>
      <c r="O525" s="2" t="s">
        <v>33</v>
      </c>
      <c r="P525" s="2" t="s">
        <v>672</v>
      </c>
      <c r="Q525" s="4">
        <v>46066</v>
      </c>
      <c r="R525" s="4">
        <v>46066</v>
      </c>
      <c r="S525" s="3">
        <v>-48</v>
      </c>
      <c r="T525" s="5">
        <v>0</v>
      </c>
      <c r="U525" s="2" t="s">
        <v>20</v>
      </c>
      <c r="V525" s="5">
        <v>-104577.12</v>
      </c>
      <c r="W525" s="5">
        <v>-104577.12</v>
      </c>
      <c r="X525" s="5">
        <v>-104577.12</v>
      </c>
    </row>
    <row r="526" spans="1:24" outlineLevel="2">
      <c r="M526" s="14" t="s">
        <v>742</v>
      </c>
      <c r="T526" s="5">
        <f>SUBTOTAL(9,T525:T525)</f>
        <v>0</v>
      </c>
      <c r="V526" s="5">
        <f>SUBTOTAL(9,V525:V525)</f>
        <v>-104577.12</v>
      </c>
      <c r="W526" s="5">
        <f>SUBTOTAL(9,W525:W525)</f>
        <v>-104577.12</v>
      </c>
    </row>
    <row r="527" spans="1:24" outlineLevel="1">
      <c r="A527" s="14" t="s">
        <v>739</v>
      </c>
      <c r="T527" s="5">
        <f>SUBTOTAL(9,T525:T525)</f>
        <v>0</v>
      </c>
      <c r="V527" s="5">
        <f>SUBTOTAL(9,V525:V525)</f>
        <v>-104577.12</v>
      </c>
      <c r="W527" s="5">
        <f>SUBTOTAL(9,W525:W525)</f>
        <v>-104577.12</v>
      </c>
    </row>
    <row r="528" spans="1:24" outlineLevel="3">
      <c r="A528" s="2" t="s">
        <v>673</v>
      </c>
      <c r="B528" s="3">
        <v>901747453</v>
      </c>
      <c r="C528" s="3">
        <v>0</v>
      </c>
      <c r="D528" s="2" t="s">
        <v>674</v>
      </c>
      <c r="E528" s="2">
        <v>3144800684</v>
      </c>
      <c r="F528" s="2" t="s">
        <v>675</v>
      </c>
      <c r="G528" s="2" t="s">
        <v>676</v>
      </c>
      <c r="H528" s="2" t="s">
        <v>28</v>
      </c>
      <c r="I528" s="2" t="s">
        <v>11</v>
      </c>
      <c r="J528" s="2" t="s">
        <v>59</v>
      </c>
      <c r="K528" s="2" t="s">
        <v>55</v>
      </c>
      <c r="L528" s="2" t="s">
        <v>56</v>
      </c>
      <c r="M528" s="2" t="s">
        <v>32</v>
      </c>
      <c r="N528" s="3">
        <v>0</v>
      </c>
      <c r="O528" s="2" t="s">
        <v>33</v>
      </c>
      <c r="P528" s="2" t="s">
        <v>677</v>
      </c>
      <c r="Q528" s="4">
        <v>46099</v>
      </c>
      <c r="R528" s="4">
        <v>46099</v>
      </c>
      <c r="S528" s="3">
        <v>-13</v>
      </c>
      <c r="T528" s="5">
        <v>0</v>
      </c>
      <c r="U528" s="2" t="s">
        <v>20</v>
      </c>
      <c r="V528" s="5">
        <v>-154994</v>
      </c>
      <c r="W528" s="5">
        <v>-154994</v>
      </c>
      <c r="X528" s="5">
        <v>-154994</v>
      </c>
    </row>
    <row r="529" spans="1:23" outlineLevel="2">
      <c r="M529" s="14" t="s">
        <v>742</v>
      </c>
      <c r="T529" s="5">
        <f>SUBTOTAL(9,T528:T528)</f>
        <v>0</v>
      </c>
      <c r="V529" s="5">
        <f>SUBTOTAL(9,V528:V528)</f>
        <v>-154994</v>
      </c>
      <c r="W529" s="5">
        <f>SUBTOTAL(9,W528:W528)</f>
        <v>-154994</v>
      </c>
    </row>
    <row r="530" spans="1:23" outlineLevel="1">
      <c r="A530" s="14" t="s">
        <v>740</v>
      </c>
      <c r="T530" s="5">
        <f>SUBTOTAL(9,T528:T528)</f>
        <v>0</v>
      </c>
      <c r="V530" s="5">
        <f>SUBTOTAL(9,V528:V528)</f>
        <v>-154994</v>
      </c>
      <c r="W530" s="5">
        <f>SUBTOTAL(9,W528:W528)</f>
        <v>-154994</v>
      </c>
    </row>
    <row r="531" spans="1:23">
      <c r="A531" s="14" t="s">
        <v>741</v>
      </c>
      <c r="T531" s="5">
        <f>SUBTOTAL(9,T8:T528)</f>
        <v>0</v>
      </c>
      <c r="V531" s="5">
        <f>SUBTOTAL(9,V8:V528)</f>
        <v>2971072692.4299979</v>
      </c>
      <c r="W531" s="5">
        <f>SUBTOTAL(9,W8:W528)</f>
        <v>1362574467.5899999</v>
      </c>
    </row>
  </sheetData>
  <mergeCells count="3">
    <mergeCell ref="A5:X5"/>
    <mergeCell ref="A2:X2"/>
    <mergeCell ref="A1:W1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Director-admon</dc:creator>
  <cp:lastModifiedBy>Director-admon</cp:lastModifiedBy>
  <dcterms:created xsi:type="dcterms:W3CDTF">2026-04-01T14:13:33Z</dcterms:created>
  <dcterms:modified xsi:type="dcterms:W3CDTF">2026-04-01T14:14:09Z</dcterms:modified>
</cp:coreProperties>
</file>